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27cb3a12284bf5" /></Relationships>
</file>

<file path=xl/workbook.xml><?xml version="1.0" encoding="utf-8"?>
<x:workbook xmlns:x="http://schemas.openxmlformats.org/spreadsheetml/2006/main">
  <x:sheets>
    <x:sheet xmlns:r="http://schemas.openxmlformats.org/officeDocument/2006/relationships" name="Dashboard" sheetId="1" r:id="R6fb961adb1394734"/>
    <x:sheet xmlns:r="http://schemas.openxmlformats.org/officeDocument/2006/relationships" name="Asset Tracker" sheetId="2" r:id="R9b68059824c94c1a"/>
    <x:sheet xmlns:r="http://schemas.openxmlformats.org/officeDocument/2006/relationships" name="Page Map" sheetId="3" r:id="Reafeeb6de295484b"/>
    <x:sheet xmlns:r="http://schemas.openxmlformats.org/officeDocument/2006/relationships" name="Prompt Library" sheetId="4" r:id="R007b405757cd4837"/>
    <x:sheet xmlns:r="http://schemas.openxmlformats.org/officeDocument/2006/relationships" name="Shot Guide" sheetId="5" r:id="R4519e5466cd7476d"/>
    <x:sheet xmlns:r="http://schemas.openxmlformats.org/officeDocument/2006/relationships" name="Lists" sheetId="6" r:id="Ra0e5e19944f24870"/>
    <x:sheet xmlns:r="http://schemas.openxmlformats.org/officeDocument/2006/relationships" name="AI Render Queue v3.1" sheetId="7" r:id="R1dbc58be29834f0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6"/>
      <x:color rgb="FFFFFF"/>
      <x:name val="Carlito"/>
    </x:font>
    <x:font>
      <x:b/>
      <x:sz val="11"/>
      <x:name val="Carlito"/>
    </x:font>
  </x:fonts>
  <x:fills count="7">
    <x:fill>
      <x:patternFill patternType="none"/>
    </x:fill>
    <x:fill>
      <x:patternFill patternType="gray125"/>
    </x:fill>
    <x:fill>
      <x:patternFill patternType="solid">
        <x:fgColor rgb="111111"/>
      </x:patternFill>
    </x:fill>
    <x:fill>
      <x:patternFill patternType="solid">
        <x:fgColor rgb="F5F5F5"/>
      </x:patternFill>
    </x:fill>
    <x:fill>
      <x:patternFill patternType="solid">
        <x:fgColor rgb="FAFAFA"/>
      </x:patternFill>
    </x:fill>
    <x:fill>
      <x:patternFill patternType="solid">
        <x:fgColor rgb="F3F4F6"/>
      </x:patternFill>
    </x:fill>
    <x:fill>
      <x:patternFill patternType="solid">
        <x:fgColor rgb="111111"/>
      </x:patternFill>
    </x:fill>
  </x:fills>
  <x:borders count="2">
    <x:border/>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left"/>
    </x:xf>
    <x:xf numFmtId="0" fontId="1" fillId="2" borderId="1" xfId="0" applyNumberFormat="1" applyFont="1" applyFill="1" applyBorder="1" applyAlignment="1">
      <x:alignment horizontal="left"/>
    </x:xf>
    <x:xf numFmtId="0" fontId="2" fillId="2" borderId="0" xfId="0" applyNumberFormat="1" applyFont="1" applyFill="1" applyBorder="1" applyAlignment="1">
      <x:alignment horizontal="left"/>
    </x:xf>
    <x:xf numFmtId="0" fontId="2" fillId="2" borderId="1" xfId="0" applyNumberFormat="1" applyFont="1" applyFill="1" applyBorder="1" applyAlignment="1">
      <x:alignment horizontal="left"/>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2" fillId="2" borderId="0" xfId="0" applyNumberFormat="1" applyFont="1" applyFill="1" applyBorder="1" applyAlignment="1">
      <x:alignment horizontal="left" wrapText="1"/>
    </x:xf>
    <x:xf numFmtId="0" fontId="1" fillId="2" borderId="0" xfId="0" applyNumberFormat="1" applyFont="1" applyFill="1" applyBorder="1" applyAlignment="1">
      <x:alignment horizontal="left" wrapText="1"/>
    </x:xf>
    <x:xf numFmtId="0" fontId="2" fillId="2" borderId="1" xfId="0" applyNumberFormat="1" applyFont="1" applyFill="1" applyBorder="1" applyAlignment="1">
      <x:alignment horizontal="left" wrapText="1"/>
    </x:xf>
    <x:xf numFmtId="0" fontId="1" fillId="2" borderId="1" xfId="0" applyNumberFormat="1" applyFont="1" applyFill="1" applyBorder="1" applyAlignment="1">
      <x:alignment horizontal="left" wrapText="1"/>
    </x:xf>
    <x:xf numFmtId="0" fontId="1" fillId="2" borderId="0"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top"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applyAlignment="1">
      <x:alignment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1" fillId="6" borderId="0" xfId="0" applyNumberFormat="1" applyFont="1" applyFill="1" applyBorder="1" applyAlignment="1">
      <x:alignment horizontal="center" vertical="center" wrapText="1"/>
    </x:xf>
  </x:cellXfs>
  <x:cellStyles count="1">
    <x:cellStyle name="Normal" xfId="0"/>
  </x:cellStyles>
  <x:dxfs count="3">
    <x:dxf>
      <x:font>
        <x:b/>
        <x:color rgb="B91C1C"/>
      </x:font>
      <x:fill>
        <x:patternFill>
          <x:bgColor rgb="FEE2E2"/>
        </x:patternFill>
      </x:fill>
    </x:dxf>
    <x:dxf>
      <x:font>
        <x:b/>
        <x:color rgb="166534"/>
      </x:font>
      <x:fill>
        <x:patternFill>
          <x:bgColor rgb="DCFCE7"/>
        </x:patternFill>
      </x:fill>
    </x:dxf>
    <x:dxf>
      <x:font>
        <x:color rgb="92400E"/>
      </x:font>
      <x:fill>
        <x:patternFill>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1dc50ac57ee4d17" /><Relationship Type="http://schemas.openxmlformats.org/officeDocument/2006/relationships/theme" Target="/xl/theme/theme1.xml" Id="R850f5a7abe154e67" /><Relationship Type="http://schemas.openxmlformats.org/officeDocument/2006/relationships/sharedStrings" Target="/xl/sharedStrings.xml" Id="R676eb35b1a504bb6" /><Relationship Type="http://schemas.openxmlformats.org/officeDocument/2006/relationships/worksheet" Target="/xl/worksheets/sheet1.xml" Id="R6fb961adb1394734" /><Relationship Type="http://schemas.openxmlformats.org/officeDocument/2006/relationships/worksheet" Target="/xl/worksheets/sheet2.xml" Id="R9b68059824c94c1a" /><Relationship Type="http://schemas.openxmlformats.org/officeDocument/2006/relationships/worksheet" Target="/xl/worksheets/sheet3.xml" Id="Reafeeb6de295484b" /><Relationship Type="http://schemas.openxmlformats.org/officeDocument/2006/relationships/worksheet" Target="/xl/worksheets/sheet4.xml" Id="R007b405757cd4837" /><Relationship Type="http://schemas.openxmlformats.org/officeDocument/2006/relationships/worksheet" Target="/xl/worksheets/sheet5.xml" Id="R4519e5466cd7476d" /><Relationship Type="http://schemas.openxmlformats.org/officeDocument/2006/relationships/worksheet" Target="/xl/worksheets/sheet6.xml" Id="Ra0e5e19944f24870" /><Relationship Type="http://schemas.openxmlformats.org/officeDocument/2006/relationships/worksheet" Target="/xl/worksheets/sheet7.xml" Id="R1dbc58be29834f01" /></Relationships>
</file>

<file path=xl/tables/table1.xml><?xml version="1.0" encoding="utf-8"?>
<x:table xmlns:x="http://schemas.openxmlformats.org/spreadsheetml/2006/main" id="1" name="AssetTrackerTable" displayName="AssetTrackerTable" ref="A1:T94" headerRowCount="1">
  <x:tableColumns count="20">
    <x:tableColumn id="1" name="Asset ID"/>
    <x:tableColumn id="2" name="Page"/>
    <x:tableColumn id="3" name="Section"/>
    <x:tableColumn id="4" name="Product/Theme"/>
    <x:tableColumn id="5" name="Asset Name"/>
    <x:tableColumn id="6" name="Recommended Filename"/>
    <x:tableColumn id="7" name="Priority"/>
    <x:tableColumn id="8" name="Source Type"/>
    <x:tableColumn id="9" name="Ratio"/>
    <x:tableColumn id="10" name="Recommended Size"/>
    <x:tableColumn id="11" name="Desktop Crop"/>
    <x:tableColumn id="12" name="Mobile Crop"/>
    <x:tableColumn id="13" name="Style Direction"/>
    <x:tableColumn id="14" name="Prompt / Shot Notes"/>
    <x:tableColumn id="15" name="Avoid / QA Notes"/>
    <x:tableColumn id="16" name="Alt Text Draft"/>
    <x:tableColumn id="17" name="Status"/>
    <x:tableColumn id="18" name="Owner"/>
    <x:tableColumn id="19" name="Due Date"/>
    <x:tableColumn id="20" name="Reference Mockup"/>
  </x:tableColumns>
  <x:tableStyleInfo name="TableStyleMedium2" showRowStripes="1"/>
</x:table>
</file>

<file path=xl/tables/table2.xml><?xml version="1.0" encoding="utf-8"?>
<x:table xmlns:x="http://schemas.openxmlformats.org/spreadsheetml/2006/main" id="2" name="PageMapTable" displayName="PageMapTable" ref="A1:D15" headerRowCount="1">
  <x:tableColumns count="4">
    <x:tableColumn id="1" name="Page"/>
    <x:tableColumn id="2" name="Section"/>
    <x:tableColumn id="3" name="Required Asset IDs"/>
    <x:tableColumn id="4" name="Notes"/>
  </x:tableColumns>
  <x:tableStyleInfo name="TableStyleMedium2" showRowStripes="1"/>
</x:table>
</file>

<file path=xl/tables/table3.xml><?xml version="1.0" encoding="utf-8"?>
<x:table xmlns:x="http://schemas.openxmlformats.org/spreadsheetml/2006/main" id="3" name="PromptTable" displayName="PromptTable" ref="A1:D8" headerRowCount="1">
  <x:tableColumns count="4">
    <x:tableColumn id="1" name="Template"/>
    <x:tableColumn id="2" name="Use For"/>
    <x:tableColumn id="3" name="Prompt"/>
    <x:tableColumn id="4" name="Negative / Avoid"/>
  </x:tableColumns>
  <x:tableStyleInfo name="TableStyleMedium2" showRowStripes="1"/>
</x:table>
</file>

<file path=xl/tables/table4.xml><?xml version="1.0" encoding="utf-8"?>
<x:table xmlns:x="http://schemas.openxmlformats.org/spreadsheetml/2006/main" id="4" name="ShotGuideTable" displayName="ShotGuideTable" ref="A1:D9" headerRowCount="1">
  <x:tableColumns count="4">
    <x:tableColumn id="1" name="Area"/>
    <x:tableColumn id="2" name="Direction"/>
    <x:tableColumn id="3" name="Must Have"/>
    <x:tableColumn id="4" name="Avoid"/>
  </x:tableColumns>
  <x:tableStyleInfo name="TableStyleMedium2" showRowStripes="1"/>
</x:table>
</file>

<file path=xl/tables/table5.xml><?xml version="1.0" encoding="utf-8"?>
<x:table xmlns:x="http://schemas.openxmlformats.org/spreadsheetml/2006/main" id="5" name="AIRenderQueue" displayName="AIRenderQueue" ref="A1:K27" headerRowCount="1">
  <x:tableColumns count="11">
    <x:tableColumn id="1" name="Asset ID"/>
    <x:tableColumn id="2" name="Page"/>
    <x:tableColumn id="3" name="Section"/>
    <x:tableColumn id="4" name="Asset Name"/>
    <x:tableColumn id="5" name="Recommended Filename"/>
    <x:tableColumn id="6" name="Priority"/>
    <x:tableColumn id="7" name="Launch Source"/>
    <x:tableColumn id="8" name="Ratio"/>
    <x:tableColumn id="9" name="Recommended Size"/>
    <x:tableColumn id="10" name="Prompt Direction"/>
    <x:tableColumn id="11" name="QA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0a853108c2c4fe0" /></Relationships>
</file>

<file path=xl/worksheets/_rels/sheet3.xml.rels>&#65279;<?xml version="1.0" encoding="utf-8"?><Relationships xmlns="http://schemas.openxmlformats.org/package/2006/relationships"><Relationship Type="http://schemas.openxmlformats.org/officeDocument/2006/relationships/table" Target="/xl/tables/table2.xml" Id="Rc62639cbc21d416d" /></Relationships>
</file>

<file path=xl/worksheets/_rels/sheet4.xml.rels>&#65279;<?xml version="1.0" encoding="utf-8"?><Relationships xmlns="http://schemas.openxmlformats.org/package/2006/relationships"><Relationship Type="http://schemas.openxmlformats.org/officeDocument/2006/relationships/table" Target="/xl/tables/table3.xml" Id="R873081f7fef24ed7" /></Relationships>
</file>

<file path=xl/worksheets/_rels/sheet5.xml.rels>&#65279;<?xml version="1.0" encoding="utf-8"?><Relationships xmlns="http://schemas.openxmlformats.org/package/2006/relationships"><Relationship Type="http://schemas.openxmlformats.org/officeDocument/2006/relationships/table" Target="/xl/tables/table4.xml" Id="R533883a71d4b45ad" /></Relationships>
</file>

<file path=xl/worksheets/_rels/sheet7.xml.rels>&#65279;<?xml version="1.0" encoding="utf-8"?><Relationships xmlns="http://schemas.openxmlformats.org/package/2006/relationships"><Relationship Type="http://schemas.openxmlformats.org/officeDocument/2006/relationships/table" Target="/xl/tables/table5.xml" Id="R8ca8e47d3e5a4870" /></Relationships>
</file>

<file path=xl/worksheets/sheet1.xml><?xml version="1.0" encoding="utf-8"?>
<x:worksheet xmlns:x="http://schemas.openxmlformats.org/spreadsheetml/2006/main">
  <x:sheetFormatPr defaultRowHeight="15"/>
  <x:cols>
    <x:col min="1" max="1" width="24" hidden="0" customWidth="1"/>
    <x:col min="2" max="2" width="48" hidden="0" customWidth="1"/>
    <x:col min="3" max="3" width="58" hidden="0" customWidth="1"/>
    <x:col min="4" max="4" width="22" hidden="0" customWidth="1"/>
    <x:col min="5" max="5" width="16" hidden="0" customWidth="1"/>
    <x:col min="6" max="6" width="16" hidden="0" customWidth="1"/>
    <x:col min="7" max="7" width="16" hidden="0" customWidth="1"/>
    <x:col min="8" max="8" width="16" hidden="0" customWidth="1"/>
  </x:cols>
  <x:sheetData>
    <x:row r="1" ht="30" customHeight="1">
      <x:c r="A1" s="30" t="str">
        <x:v>NEXS Image Asset Tracker v3.1</x:v>
      </x:c>
      <x:c r="B1" s="31"/>
      <x:c r="C1" s="31"/>
      <x:c r="D1" s="31"/>
      <x:c r="E1" s="31"/>
      <x:c r="F1" s="31"/>
      <x:c r="G1" s="31"/>
      <x:c r="H1" s="31"/>
    </x:row>
    <x:row r="2" ht="24" customHeight="1">
      <x:c r="A2" s="31" t="str">
        <x:v>Step 3: Production Asset Brief / Image Asset List | Theme: Apple-style white premium | Pricing: hidden from public website</x:v>
      </x:c>
      <x:c r="B2" s="31" t="str">
        <x:v>Step 3.1: AI Render Launch Lock | Contact handle: nexsppf | Theme: Apple-style white premium | Pricing: hidden from public website</x:v>
      </x:c>
      <x:c r="C2" s="31"/>
      <x:c r="D2" s="31"/>
      <x:c r="E2" s="31"/>
      <x:c r="F2" s="31"/>
      <x:c r="G2" s="31"/>
      <x:c r="H2" s="31"/>
    </x:row>
    <x:row r="4">
      <x:c r="A4" s="20" t="str">
        <x:v>Metric</x:v>
      </x:c>
      <x:c r="B4" s="20" t="str">
        <x:v>Value</x:v>
      </x:c>
    </x:row>
    <x:row r="5">
      <x:c r="A5" s="23" t="str">
        <x:v>Total Assets</x:v>
      </x:c>
      <x:c r="B5" t="n">
        <x:f>COUNTA('Asset Tracker'!A2:A94)</x:f>
        <x:v>93</x:v>
      </x:c>
    </x:row>
    <x:row r="6">
      <x:c r="A6" s="23" t="str">
        <x:v>P0 Assets</x:v>
      </x:c>
      <x:c r="B6" t="n">
        <x:f>COUNTIF('Asset Tracker'!G2:G94,"P0")</x:f>
        <x:v>28</x:v>
      </x:c>
    </x:row>
    <x:row r="7">
      <x:c r="A7" s="23" t="str">
        <x:v>P1 Assets</x:v>
      </x:c>
      <x:c r="B7" t="n">
        <x:f>COUNTIF('Asset Tracker'!G2:G94,"P1")</x:f>
        <x:v>45</x:v>
      </x:c>
    </x:row>
    <x:row r="8">
      <x:c r="A8" s="23" t="str">
        <x:v>P2 Assets</x:v>
      </x:c>
      <x:c r="B8" t="n">
        <x:f>COUNTIF('Asset Tracker'!G2:G94,"P2")</x:f>
        <x:v>20</x:v>
      </x:c>
    </x:row>
    <x:row r="9">
      <x:c r="A9" s="23" t="str">
        <x:v>Approved Assets</x:v>
      </x:c>
      <x:c r="B9" t="n">
        <x:f>COUNTIF('Asset Tracker'!Q2:Q94,"Approved")</x:f>
        <x:v>0</x:v>
      </x:c>
    </x:row>
    <x:row r="11">
      <x:c r="A11" s="34" t="str">
        <x:v>Page</x:v>
      </x:c>
      <x:c r="B11" s="34" t="str">
        <x:v>Asset Count</x:v>
      </x:c>
      <x:c r="C11" s="34" t="str">
        <x:v>P0 Count</x:v>
      </x:c>
      <x:c r="D11" s="34" t="str">
        <x:v>Main Need</x:v>
      </x:c>
    </x:row>
    <x:row r="12" ht="24" customHeight="1">
      <x:c r="A12" s="37" t="str">
        <x:v>Global</x:v>
      </x:c>
      <x:c r="B12" s="13" t="n">
        <x:f>COUNTIF('Asset Tracker'!B:B,"Global")</x:f>
        <x:v>4</x:v>
      </x:c>
      <x:c r="C12" s="13" t="n">
        <x:f>COUNTIFS('Asset Tracker'!B:B,"Global",'Asset Tracker'!G:G,"P0")</x:f>
        <x:v>2</x:v>
      </x:c>
      <x:c r="D12" s="13" t="str">
        <x:v>Logo lockup, icons, footer treatment</x:v>
      </x:c>
    </x:row>
    <x:row r="13" ht="24" customHeight="1">
      <x:c r="A13" s="37" t="str">
        <x:v>Homepage</x:v>
      </x:c>
      <x:c r="B13" s="13" t="n">
        <x:f>COUNTIF('Asset Tracker'!B:B,"Homepage")</x:f>
        <x:v>15</x:v>
      </x:c>
      <x:c r="C13" s="13" t="n">
        <x:f>COUNTIFS('Asset Tracker'!B:B,"Homepage",'Asset Tracker'!G:G,"P0")</x:f>
        <x:v>6</x:v>
      </x:c>
      <x:c r="D13" s="13" t="str">
        <x:v>Hero, category cards, technology, dealer trust</x:v>
      </x:c>
    </x:row>
    <x:row r="14" ht="24" customHeight="1">
      <x:c r="A14" s="37" t="str">
        <x:v>Clear PPF</x:v>
      </x:c>
      <x:c r="B14" s="13" t="n">
        <x:f>COUNTIF('Asset Tracker'!B:B,"Clear PPF")</x:f>
        <x:v>16</x:v>
      </x:c>
      <x:c r="C14" s="13" t="n">
        <x:f>COUNTIFS('Asset Tracker'!B:B,"Clear PPF",'Asset Tracker'!G:G,"P0")</x:f>
        <x:v>5</x:v>
      </x:c>
      <x:c r="D14" s="13" t="str">
        <x:v>Hero, 4 film rolls, install gallery</x:v>
      </x:c>
    </x:row>
    <x:row r="15" ht="24" customHeight="1">
      <x:c r="A15" s="37" t="str">
        <x:v>Matte &amp; Color</x:v>
      </x:c>
      <x:c r="B15" s="13" t="n">
        <x:f>COUNTIF('Asset Tracker'!B:B,"Matte &amp; Color")</x:f>
        <x:v>25</x:v>
      </x:c>
      <x:c r="C15" s="13" t="n">
        <x:f>COUNTIFS('Asset Tracker'!B:B,"Matte &amp; Color",'Asset Tracker'!G:G,"P0")</x:f>
        <x:v>9</x:v>
      </x:c>
      <x:c r="D15" s="13" t="str">
        <x:v>Hero, 3 matte cards, 5 color cards, swatches</x:v>
      </x:c>
    </x:row>
    <x:row r="16" ht="24" customHeight="1">
      <x:c r="A16" s="37" t="str">
        <x:v>About NEXS</x:v>
      </x:c>
      <x:c r="B16" s="13" t="n">
        <x:f>COUNTIF('Asset Tracker'!B:B,"About NEXS")</x:f>
        <x:v>14</x:v>
      </x:c>
      <x:c r="C16" s="13" t="n">
        <x:f>COUNTIFS('Asset Tracker'!B:B,"About NEXS",'Asset Tracker'!G:G,"P0")</x:f>
        <x:v>2</x:v>
      </x:c>
      <x:c r="D16" s="13" t="str">
        <x:v>Brand story, technology cards, contact</x:v>
      </x:c>
    </x:row>
    <x:row r="17" ht="24" customHeight="1">
      <x:c r="A17" s="37" t="str">
        <x:v>Technology</x:v>
      </x:c>
      <x:c r="B17" s="13" t="n">
        <x:f>COUNTIF('Asset Tracker'!B:B,"Technology")</x:f>
        <x:v>8</x:v>
      </x:c>
      <x:c r="C17" s="13" t="n">
        <x:f>COUNTIFS('Asset Tracker'!B:B,"Technology",'Asset Tracker'!G:G,"P0")</x:f>
        <x:v>2</x:v>
      </x:c>
      <x:c r="D17" s="13" t="str">
        <x:v>Layer stack and performance visuals</x:v>
      </x:c>
    </x:row>
    <x:row r="18" ht="24" customHeight="1">
      <x:c r="A18" s="37" t="str">
        <x:v>Compare</x:v>
      </x:c>
      <x:c r="B18" s="13" t="n">
        <x:f>COUNTIF('Asset Tracker'!B:B,"Compare")</x:f>
        <x:v>2</x:v>
      </x:c>
      <x:c r="C18" s="13" t="n">
        <x:f>COUNTIFS('Asset Tracker'!B:B,"Compare",'Asset Tracker'!G:G,"P0")</x:f>
        <x:v>0</x:v>
      </x:c>
      <x:c r="D18" s="13" t="str">
        <x:v>Lineup hero and comparison thumbnails</x:v>
      </x:c>
    </x:row>
    <x:row r="19" ht="24" customHeight="1">
      <x:c r="A19" s="37" t="str">
        <x:v>Dealer</x:v>
      </x:c>
      <x:c r="B19" s="13" t="n">
        <x:f>COUNTIF('Asset Tracker'!B:B,"Dealer")</x:f>
        <x:v>6</x:v>
      </x:c>
      <x:c r="C19" s="13" t="n">
        <x:f>COUNTIFS('Asset Tracker'!B:B,"Dealer",'Asset Tracker'!G:G,"P0")</x:f>
        <x:v>2</x:v>
      </x:c>
      <x:c r="D19" s="13" t="str">
        <x:v>Showroom, training, installer proof</x:v>
      </x:c>
    </x:row>
    <x:row r="20" ht="24" customHeight="1">
      <x:c r="A20" s="37" t="str">
        <x:v>Contact</x:v>
      </x:c>
      <x:c r="B20" s="13" t="n">
        <x:f>COUNTIF('Asset Tracker'!B:B,"Contact")</x:f>
        <x:v>3</x:v>
      </x:c>
      <x:c r="C20" s="13" t="n">
        <x:f>COUNTIFS('Asset Tracker'!B:B,"Contact",'Asset Tracker'!G:G,"P0")</x:f>
        <x:v>0</x:v>
      </x:c>
      <x:c r="D20" s="13" t="str">
        <x:v>Showroom/map/icon set</x:v>
      </x:c>
    </x:row>
    <x:row r="22">
      <x:c r="A22" s="34" t="str">
        <x:v>Rule</x:v>
      </x:c>
      <x:c r="B22" s="34" t="str">
        <x:v>Locked Direction</x:v>
      </x:c>
      <x:c r="C22" s="34" t="str">
        <x:v>Risk if missed</x:v>
      </x:c>
      <x:c r="D22" s="34" t="str">
        <x:v>Owner</x:v>
      </x:c>
    </x:row>
    <x:row r="23" ht="38" customHeight="1">
      <x:c r="A23" s="13" t="str">
        <x:v>Theme</x:v>
      </x:c>
      <x:c r="B23" s="13" t="str">
        <x:v>White / silver / light gray with red accents only</x:v>
      </x:c>
      <x:c r="C23" s="13" t="str">
        <x:v>Site becomes too dark; loses Apple concept</x:v>
      </x:c>
      <x:c r="D23" s="13" t="str"/>
    </x:row>
    <x:row r="24" ht="38" customHeight="1">
      <x:c r="A24" s="13" t="str">
        <x:v>No pricing</x:v>
      </x:c>
      <x:c r="B24" s="13" t="str">
        <x:v>No public price, no range, no Base/XL/XXL, no supplier/dealer cost</x:v>
      </x:c>
      <x:c r="C24" s="13" t="str">
        <x:v>Confuses customers and exposes internal pricing</x:v>
      </x:c>
      <x:c r="D24" s="13" t="str"/>
    </x:row>
    <x:row r="25" ht="38" customHeight="1">
      <x:c r="A25" s="13" t="str">
        <x:v>Logo descriptor</x:v>
      </x:c>
      <x:c r="B25" s="13" t="str">
        <x:v>ENGINEERED FOR PERFECT SURFACES</x:v>
      </x:c>
      <x:c r="C25" s="13" t="str">
        <x:v>Old Shine and Shield returns</x:v>
      </x:c>
      <x:c r="D25" s="13" t="str"/>
    </x:row>
    <x:row r="26" ht="38" customHeight="1">
      <x:c r="A26" s="13" t="str">
        <x:v>Product structure</x:v>
      </x:c>
      <x:c r="B26" s="13" t="str">
        <x:v>Clear 4, Matte 3, Color 5 = 12 options</x:v>
      </x:c>
      <x:c r="C26" s="13" t="str">
        <x:v>Homepage/product pages inconsistent</x:v>
      </x:c>
      <x:c r="D26" s="13" t="str"/>
    </x:row>
    <x:row r="27" ht="38" customHeight="1">
      <x:c r="A27" s="41" t="str">
        <x:v>P0 launch source</x:v>
      </x:c>
      <x:c r="B27" s="41" t="str">
        <x:v>AI render for all photo/render-based P0 assets; vectors remain vector</x:v>
      </x:c>
      <x:c r="C27" s="41" t="str">
        <x:v>Unapproved stock/real-photo mismatch or AI artifacts</x:v>
      </x:c>
      <x:c r="D27" s="41" t="str">
        <x:v>Designer / AI Render</x:v>
      </x:c>
    </x:row>
  </x:sheetData>
  <x:mergeCells>
    <x:mergeCell ref="A1:D1"/>
    <x:mergeCell ref="A2:D2"/>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18" hidden="0" customWidth="1"/>
    <x:col min="5" max="5" width="30" hidden="0" customWidth="1"/>
    <x:col min="6" max="6" width="34" hidden="0" customWidth="1"/>
    <x:col min="7" max="7" width="10" hidden="0" customWidth="1"/>
    <x:col min="8" max="8" width="20" hidden="0" customWidth="1"/>
    <x:col min="9" max="9" width="12" hidden="0" customWidth="1"/>
    <x:col min="10" max="10" width="18" hidden="0" customWidth="1"/>
    <x:col min="11" max="11" width="24" hidden="0" customWidth="1"/>
    <x:col min="12" max="12" width="22" hidden="0" customWidth="1"/>
    <x:col min="13" max="13" width="46" hidden="0" customWidth="1"/>
    <x:col min="14" max="14" width="58" hidden="0" customWidth="1"/>
    <x:col min="15" max="15" width="50" hidden="0" customWidth="1"/>
    <x:col min="16" max="16" width="38" hidden="0" customWidth="1"/>
    <x:col min="17" max="17" width="18" hidden="0" customWidth="1"/>
    <x:col min="18" max="18" width="18" hidden="0" customWidth="1"/>
    <x:col min="19" max="19" width="14" hidden="0" customWidth="1"/>
    <x:col min="20" max="20" width="22" hidden="0" customWidth="1"/>
  </x:cols>
  <x:sheetData>
    <x:row r="1" ht="28" customHeight="1">
      <x:c r="A1" s="46" t="str">
        <x:v>Asset ID</x:v>
      </x:c>
      <x:c r="B1" s="46" t="str">
        <x:v>Page</x:v>
      </x:c>
      <x:c r="C1" s="46" t="str">
        <x:v>Section</x:v>
      </x:c>
      <x:c r="D1" s="46" t="str">
        <x:v>Product/Theme</x:v>
      </x:c>
      <x:c r="E1" s="46" t="str">
        <x:v>Asset Name</x:v>
      </x:c>
      <x:c r="F1" s="46" t="str">
        <x:v>Recommended Filename</x:v>
      </x:c>
      <x:c r="G1" s="46" t="str">
        <x:v>Priority</x:v>
      </x:c>
      <x:c r="H1" s="46" t="str">
        <x:v>Source Type</x:v>
      </x:c>
      <x:c r="I1" s="46" t="str">
        <x:v>Ratio</x:v>
      </x:c>
      <x:c r="J1" s="46" t="str">
        <x:v>Recommended Size</x:v>
      </x:c>
      <x:c r="K1" s="46" t="str">
        <x:v>Desktop Crop</x:v>
      </x:c>
      <x:c r="L1" s="46" t="str">
        <x:v>Mobile Crop</x:v>
      </x:c>
      <x:c r="M1" s="46" t="str">
        <x:v>Style Direction</x:v>
      </x:c>
      <x:c r="N1" s="46" t="str">
        <x:v>Prompt / Shot Notes</x:v>
      </x:c>
      <x:c r="O1" s="46" t="str">
        <x:v>Avoid / QA Notes</x:v>
      </x:c>
      <x:c r="P1" s="46" t="str">
        <x:v>Alt Text Draft</x:v>
      </x:c>
      <x:c r="Q1" s="46" t="str">
        <x:v>Status</x:v>
      </x:c>
      <x:c r="R1" s="46" t="str">
        <x:v>Owner</x:v>
      </x:c>
      <x:c r="S1" s="46" t="str">
        <x:v>Due Date</x:v>
      </x:c>
      <x:c r="T1" s="46" t="str">
        <x:v>Reference Mockup</x:v>
      </x:c>
    </x:row>
    <x:row r="2">
      <x:c r="A2" s="13" t="str">
        <x:v>GLO-001</x:v>
      </x:c>
      <x:c r="B2" s="13" t="str">
        <x:v>Global</x:v>
      </x:c>
      <x:c r="C2" s="13" t="str">
        <x:v>Header / Footer</x:v>
      </x:c>
      <x:c r="D2" s="13" t="str">
        <x:v>Global</x:v>
      </x:c>
      <x:c r="E2" s="13" t="str">
        <x:v>NEXS logo lockup</x:v>
      </x:c>
      <x:c r="F2" s="13" t="str">
        <x:v>nexs-logo-lockup.svg</x:v>
      </x:c>
      <x:c r="G2" s="13" t="str">
        <x:v>P0</x:v>
      </x:c>
      <x:c r="H2" s="13" t="str">
        <x:v>Vector icon</x:v>
      </x:c>
      <x:c r="I2" s="13" t="str">
        <x:v>Vector</x:v>
      </x:c>
      <x:c r="J2" s="13" t="str">
        <x:v>SVG + PNG fallback</x:v>
      </x:c>
      <x:c r="K2" s="13" t="str">
        <x:v>No crop</x:v>
      </x:c>
      <x:c r="L2" s="13" t="str">
        <x:v>No crop</x:v>
      </x:c>
      <x:c r="M2" s="13" t="str">
        <x:v>Black logo with red accent; descriptor underneath: ENGINEERED FOR PERFECT SURFACES.</x:v>
      </x:c>
      <x:c r="N2" s="13" t="str">
        <x:v>Prepare approved vector logo and alternate footer version.</x:v>
      </x:c>
      <x:c r="O2" s="13" t="str">
        <x:v>No Shine and Shield. No fake logo generation in AI.</x:v>
      </x:c>
      <x:c r="P2" s="13" t="str">
        <x:v>NEXS logo with engineered for perfect surfaces descriptor.</x:v>
      </x:c>
      <x:c r="Q2" s="13" t="str">
        <x:v>Vector production queued</x:v>
      </x:c>
      <x:c r="R2" s="13" t="str">
        <x:v>Designer</x:v>
      </x:c>
      <x:c r="S2" s="13"/>
      <x:c r="T2" s="13" t="str">
        <x:v>All pages</x:v>
      </x:c>
    </x:row>
    <x:row r="3">
      <x:c r="A3" s="13" t="str">
        <x:v>GLO-002</x:v>
      </x:c>
      <x:c r="B3" s="13" t="str">
        <x:v>Global</x:v>
      </x:c>
      <x:c r="C3" s="13" t="str">
        <x:v>Icon system</x:v>
      </x:c>
      <x:c r="D3" s="13" t="str">
        <x:v>Global</x:v>
      </x:c>
      <x:c r="E3" s="13" t="str">
        <x:v>Line icon set</x:v>
      </x:c>
      <x:c r="F3" s="13" t="str">
        <x:v>nexs-line-icon-set.svg</x:v>
      </x:c>
      <x:c r="G3" s="13" t="str">
        <x:v>P0</x:v>
      </x:c>
      <x:c r="H3" s="13" t="str">
        <x:v>Vector icon</x:v>
      </x:c>
      <x:c r="I3" s="13" t="str">
        <x:v>1:1</x:v>
      </x:c>
      <x:c r="J3" s="13" t="str">
        <x:v>SVG + 512 PNG</x:v>
      </x:c>
      <x:c r="K3" s="13" t="str">
        <x:v>N/A</x:v>
      </x:c>
      <x:c r="L3" s="13" t="str">
        <x:v>N/A</x:v>
      </x:c>
      <x:c r="M3" s="13" t="str">
        <x:v>Thin premium line icons; same stroke weight; rounded geometry; black/gray with red accent dot where needed.</x:v>
      </x:c>
      <x:c r="N3" s="13" t="str">
        <x:v>Create for clarity, self-healing, hydrophobic, anti-yellowing, stain resistance, precision fit, dealer support.</x:v>
      </x:c>
      <x:c r="O3" s="13" t="str">
        <x:v>Mixed icon styles, filled cartoon icons, stock-looking icons.</x:v>
      </x:c>
      <x:c r="P3" s="13" t="str">
        <x:v>Minimal line icon set for NEXS film technology benefits.</x:v>
      </x:c>
      <x:c r="Q3" s="13" t="str">
        <x:v>Vector production queued</x:v>
      </x:c>
      <x:c r="R3" s="13" t="str">
        <x:v>Designer</x:v>
      </x:c>
      <x:c r="S3" s="13"/>
      <x:c r="T3" s="13" t="str">
        <x:v>All pages</x:v>
      </x:c>
    </x:row>
    <x:row r="4">
      <x:c r="A4" s="13" t="str">
        <x:v>GLO-003</x:v>
      </x:c>
      <x:c r="B4" s="13" t="str">
        <x:v>Global</x:v>
      </x:c>
      <x:c r="C4" s="13" t="str">
        <x:v>Footer</x:v>
      </x:c>
      <x:c r="D4" s="13" t="str">
        <x:v>Global</x:v>
      </x:c>
      <x:c r="E4" s="13" t="str">
        <x:v>Footer background gradient</x:v>
      </x:c>
      <x:c r="F4" s="13" t="str">
        <x:v>global-footer-light-to-dark.webp</x:v>
      </x:c>
      <x:c r="G4" s="13" t="str">
        <x:v>P1</x:v>
      </x:c>
      <x:c r="H4" s="13" t="str">
        <x:v>AI render</x:v>
      </x:c>
      <x:c r="I4" s="13" t="str">
        <x:v>16:9</x:v>
      </x:c>
      <x:c r="J4" s="13" t="str">
        <x:v>1920 x 600</x:v>
      </x:c>
      <x:c r="K4" s="13" t="str">
        <x:v>Center/low contrast</x:v>
      </x:c>
      <x:c r="L4" s="13" t="str">
        <x:v>4:5 simple crop</x:v>
      </x:c>
      <x:c r="M4" s="13" t="str">
        <x:v>Subtle black/charcoal gradient with clean light reflection; match white page theme.</x:v>
      </x:c>
      <x:c r="N4" s="13" t="str">
        <x:v>Use only for footer or dark contrast areas.</x:v>
      </x:c>
      <x:c r="O4" s="13" t="str">
        <x:v>Do not turn whole page into black theme.</x:v>
      </x:c>
      <x:c r="P4" s="13" t="str">
        <x:v>Subtle dark footer background with premium light reflection.</x:v>
      </x:c>
      <x:c r="Q4" s="13" t="str">
        <x:v>To produce</x:v>
      </x:c>
      <x:c r="R4" s="13"/>
      <x:c r="S4" s="13"/>
      <x:c r="T4" s="13" t="str">
        <x:v>Homepage / About</x:v>
      </x:c>
    </x:row>
    <x:row r="5">
      <x:c r="A5" s="13" t="str">
        <x:v>GLO-004</x:v>
      </x:c>
      <x:c r="B5" s="13" t="str">
        <x:v>Global</x:v>
      </x:c>
      <x:c r="C5" s="13" t="str">
        <x:v>UI details</x:v>
      </x:c>
      <x:c r="D5" s="13" t="str">
        <x:v>Global</x:v>
      </x:c>
      <x:c r="E5" s="13" t="str">
        <x:v>Red accent bars and dots</x:v>
      </x:c>
      <x:c r="F5" s="13" t="str">
        <x:v>nexs-red-accent-kit.svg</x:v>
      </x:c>
      <x:c r="G5" s="13" t="str">
        <x:v>P1</x:v>
      </x:c>
      <x:c r="H5" s="13" t="str">
        <x:v>Vector icon</x:v>
      </x:c>
      <x:c r="I5" s="13" t="str">
        <x:v>Vector</x:v>
      </x:c>
      <x:c r="J5" s="13" t="str">
        <x:v>SVG</x:v>
      </x:c>
      <x:c r="K5" s="13" t="str">
        <x:v>N/A</x:v>
      </x:c>
      <x:c r="L5" s="13" t="str">
        <x:v>N/A</x:v>
      </x:c>
      <x:c r="M5" s="13" t="str">
        <x:v>Small red slash marks, red active states, red CTA accent. Keep restrained.</x:v>
      </x:c>
      <x:c r="N5" s="13" t="str">
        <x:v>Create as reusable UI vector set.</x:v>
      </x:c>
      <x:c r="O5" s="13" t="str">
        <x:v>Overuse of red; red backgrounds everywhere.</x:v>
      </x:c>
      <x:c r="P5" s="13" t="str">
        <x:v>NEXS red accent elements for UI highlights.</x:v>
      </x:c>
      <x:c r="Q5" s="13" t="str">
        <x:v>To produce</x:v>
      </x:c>
      <x:c r="R5" s="13"/>
      <x:c r="S5" s="13"/>
      <x:c r="T5" s="13" t="str">
        <x:v>All pages</x:v>
      </x:c>
    </x:row>
    <x:row r="6">
      <x:c r="A6" s="13" t="str">
        <x:v>HOME-001</x:v>
      </x:c>
      <x:c r="B6" s="13" t="str">
        <x:v>Homepage</x:v>
      </x:c>
      <x:c r="C6" s="13" t="str">
        <x:v>Hero</x:v>
      </x:c>
      <x:c r="D6" s="13" t="str">
        <x:v>Global</x:v>
      </x:c>
      <x:c r="E6" s="13" t="str">
        <x:v>Homepage hero car</x:v>
      </x:c>
      <x:c r="F6" s="13" t="str">
        <x:v>home-hero-car-white-silver-studio.webp</x:v>
      </x:c>
      <x:c r="G6" s="13" t="str">
        <x:v>P0</x:v>
      </x:c>
      <x:c r="H6" s="13" t="str">
        <x:v>AI render (Launch v1)</x:v>
      </x:c>
      <x:c r="I6" s="13" t="str">
        <x:v>16:9</x:v>
      </x:c>
      <x:c r="J6" s="13" t="str">
        <x:v>2880 x 1500</x:v>
      </x:c>
      <x:c r="K6" s="13" t="str">
        <x:v>Car right, copy space left</x:v>
      </x:c>
      <x:c r="L6" s="13" t="str">
        <x:v>4:5 crop with car front/rear dominant</x:v>
      </x:c>
      <x:c r="M6" s="13" t="str">
        <x:v>Apple-style high-key white studio; white/silver performance car; red accent details; glossy clean floor; soft vertical light bars.</x:v>
      </x:c>
      <x:c r="N6" s="13" t="str">
        <x:v>Premium sports car, no visible OEM logo, no license plate, NEXS plate optional only if designed later. Launch v1 direction: AI render approved by owner; generate in Apple-style white/silver premium theme with restrained red accents.</x:v>
      </x:c>
      <x:c r="O6" s="13" t="str">
        <x:v>Dark homepage, cluttered garage, obvious fake car geometry, distorted wheels. QA for AI artifacts, distorted logos, fake badges, wrong text, wrong proportions, inconsistent reflections.</x:v>
      </x:c>
      <x:c r="P6" s="13" t="str">
        <x:v>White silver sports car in a clean studio for NEXS homepage hero.</x:v>
      </x:c>
      <x:c r="Q6" s="13" t="str">
        <x:v>AI render queued</x:v>
      </x:c>
      <x:c r="R6" s="13" t="str">
        <x:v>Designer / AI Render</x:v>
      </x:c>
      <x:c r="S6" s="13"/>
      <x:c r="T6" s="13" t="str">
        <x:v>Homepage Final</x:v>
      </x:c>
    </x:row>
    <x:row r="7">
      <x:c r="A7" s="13" t="str">
        <x:v>HOME-002</x:v>
      </x:c>
      <x:c r="B7" s="13" t="str">
        <x:v>Homepage</x:v>
      </x:c>
      <x:c r="C7" s="13" t="str">
        <x:v>Hero thumbnails</x:v>
      </x:c>
      <x:c r="D7" s="13" t="str">
        <x:v>Clear PPF</x:v>
      </x:c>
      <x:c r="E7" s="13" t="str">
        <x:v>Headlight close-up thumbnail</x:v>
      </x:c>
      <x:c r="F7" s="13" t="str">
        <x:v>home-thumb-headlight.webp</x:v>
      </x:c>
      <x:c r="G7" s="13" t="str">
        <x:v>P1</x:v>
      </x:c>
      <x:c r="H7" s="13" t="str">
        <x:v>AI render</x:v>
      </x:c>
      <x:c r="I7" s="13" t="str">
        <x:v>16:9</x:v>
      </x:c>
      <x:c r="J7" s="13" t="str">
        <x:v>800 x 450</x:v>
      </x:c>
      <x:c r="K7" s="13" t="str">
        <x:v>Headlight and front curve</x:v>
      </x:c>
      <x:c r="L7" s="13" t="str">
        <x:v>Square crop for mobile carousel</x:v>
      </x:c>
      <x:c r="M7" s="13" t="str">
        <x:v>Close-up of premium headlight and clear reflections; white/silver car body.</x:v>
      </x:c>
      <x:c r="N7" s="13" t="str">
        <x:v>Use for small hero image strip or gallery.</x:v>
      </x:c>
      <x:c r="O7" s="13" t="str">
        <x:v>Visible car logo, messy reflections.</x:v>
      </x:c>
      <x:c r="P7" s="13" t="str">
        <x:v>Close-up of a premium car headlight with clear reflective surface.</x:v>
      </x:c>
      <x:c r="Q7" s="13" t="str">
        <x:v>To produce</x:v>
      </x:c>
      <x:c r="R7" s="13"/>
      <x:c r="S7" s="13"/>
      <x:c r="T7" s="13" t="str">
        <x:v>Homepage Final</x:v>
      </x:c>
    </x:row>
    <x:row r="8">
      <x:c r="A8" s="13" t="str">
        <x:v>HOME-003</x:v>
      </x:c>
      <x:c r="B8" s="13" t="str">
        <x:v>Homepage</x:v>
      </x:c>
      <x:c r="C8" s="13" t="str">
        <x:v>Hero thumbnails</x:v>
      </x:c>
      <x:c r="D8" s="13" t="str">
        <x:v>Clear PPF</x:v>
      </x:c>
      <x:c r="E8" s="13" t="str">
        <x:v>Hydrophobic water beads thumbnail</x:v>
      </x:c>
      <x:c r="F8" s="13" t="str">
        <x:v>home-thumb-water-beads.webp</x:v>
      </x:c>
      <x:c r="G8" s="13" t="str">
        <x:v>P1</x:v>
      </x:c>
      <x:c r="H8" s="13" t="str">
        <x:v>Real photo</x:v>
      </x:c>
      <x:c r="I8" s="13" t="str">
        <x:v>16:9</x:v>
      </x:c>
      <x:c r="J8" s="13" t="str">
        <x:v>800 x 450</x:v>
      </x:c>
      <x:c r="K8" s="13" t="str">
        <x:v>Macro water beads</x:v>
      </x:c>
      <x:c r="L8" s="13" t="str">
        <x:v>Square crop</x:v>
      </x:c>
      <x:c r="M8" s="13" t="str">
        <x:v>Water beads on glossy film surface; high contrast but clean.</x:v>
      </x:c>
      <x:c r="N8" s="13" t="str">
        <x:v>Can use real macro photo from product test.</x:v>
      </x:c>
      <x:c r="O8" s="13" t="str">
        <x:v>Dirty surface, low-resolution macro.</x:v>
      </x:c>
      <x:c r="P8" s="13" t="str">
        <x:v>Water beads on a glossy paint protection film surface.</x:v>
      </x:c>
      <x:c r="Q8" s="13" t="str">
        <x:v>To produce</x:v>
      </x:c>
      <x:c r="R8" s="13"/>
      <x:c r="S8" s="13"/>
      <x:c r="T8" s="13" t="str">
        <x:v>Homepage Final</x:v>
      </x:c>
    </x:row>
    <x:row r="9">
      <x:c r="A9" s="13" t="str">
        <x:v>HOME-004</x:v>
      </x:c>
      <x:c r="B9" s="13" t="str">
        <x:v>Homepage</x:v>
      </x:c>
      <x:c r="C9" s="13" t="str">
        <x:v>Hero thumbnails</x:v>
      </x:c>
      <x:c r="D9" s="13" t="str">
        <x:v>Global</x:v>
      </x:c>
      <x:c r="E9" s="13" t="str">
        <x:v>Wheel and red caliper thumbnail</x:v>
      </x:c>
      <x:c r="F9" s="13" t="str">
        <x:v>home-thumb-wheel-red-caliper.webp</x:v>
      </x:c>
      <x:c r="G9" s="13" t="str">
        <x:v>P1</x:v>
      </x:c>
      <x:c r="H9" s="13" t="str">
        <x:v>AI render</x:v>
      </x:c>
      <x:c r="I9" s="13" t="str">
        <x:v>16:9</x:v>
      </x:c>
      <x:c r="J9" s="13" t="str">
        <x:v>800 x 450</x:v>
      </x:c>
      <x:c r="K9" s="13" t="str">
        <x:v>Wheel/caliper close-up</x:v>
      </x:c>
      <x:c r="L9" s="13" t="str">
        <x:v>Square crop</x:v>
      </x:c>
      <x:c r="M9" s="13" t="str">
        <x:v>Premium wheel with subtle red caliper accent, matching NEXS red.</x:v>
      </x:c>
      <x:c r="N9" s="13" t="str">
        <x:v>Use as performance detail.</x:v>
      </x:c>
      <x:c r="O9" s="13" t="str">
        <x:v>Visible OEM brand, distorted wheel spokes.</x:v>
      </x:c>
      <x:c r="P9" s="13" t="str">
        <x:v>Close-up of a premium wheel with subtle red brake accent.</x:v>
      </x:c>
      <x:c r="Q9" s="13" t="str">
        <x:v>To produce</x:v>
      </x:c>
      <x:c r="R9" s="13"/>
      <x:c r="S9" s="13"/>
      <x:c r="T9" s="13" t="str">
        <x:v>Homepage Final</x:v>
      </x:c>
    </x:row>
    <x:row r="10">
      <x:c r="A10" s="13" t="str">
        <x:v>HOME-005</x:v>
      </x:c>
      <x:c r="B10" s="13" t="str">
        <x:v>Homepage</x:v>
      </x:c>
      <x:c r="C10" s="13" t="str">
        <x:v>Hero thumbnails</x:v>
      </x:c>
      <x:c r="D10" s="13" t="str">
        <x:v>Color PPF</x:v>
      </x:c>
      <x:c r="E10" s="13" t="str">
        <x:v>Red color close-up thumbnail</x:v>
      </x:c>
      <x:c r="F10" s="13" t="str">
        <x:v>home-thumb-red-color-ppf.webp</x:v>
      </x:c>
      <x:c r="G10" s="13" t="str">
        <x:v>P1</x:v>
      </x:c>
      <x:c r="H10" s="13" t="str">
        <x:v>AI render</x:v>
      </x:c>
      <x:c r="I10" s="13" t="str">
        <x:v>16:9</x:v>
      </x:c>
      <x:c r="J10" s="13" t="str">
        <x:v>800 x 450</x:v>
      </x:c>
      <x:c r="K10" s="13" t="str">
        <x:v>Red paint and headlight crop</x:v>
      </x:c>
      <x:c r="L10" s="13" t="str">
        <x:v>Square crop</x:v>
      </x:c>
      <x:c r="M10" s="13" t="str">
        <x:v>Rich red color PPF close-up; glossy and premium; not overly saturated.</x:v>
      </x:c>
      <x:c r="N10" s="13" t="str">
        <x:v>Use as Color PPF teaser.</x:v>
      </x:c>
      <x:c r="O10" s="13" t="str">
        <x:v>Cheap wrap texture, orange cast, cartoon shine.</x:v>
      </x:c>
      <x:c r="P10" s="13" t="str">
        <x:v>Close-up of red color paint protection film on a car panel.</x:v>
      </x:c>
      <x:c r="Q10" s="13" t="str">
        <x:v>To produce</x:v>
      </x:c>
      <x:c r="R10" s="13"/>
      <x:c r="S10" s="13"/>
      <x:c r="T10" s="13" t="str">
        <x:v>Homepage Final</x:v>
      </x:c>
    </x:row>
    <x:row r="11">
      <x:c r="A11" s="13" t="str">
        <x:v>HOME-006</x:v>
      </x:c>
      <x:c r="B11" s="13" t="str">
        <x:v>Homepage</x:v>
      </x:c>
      <x:c r="C11" s="13" t="str">
        <x:v>Choose Your Film System</x:v>
      </x:c>
      <x:c r="D11" s="13" t="str">
        <x:v>Clear PPF</x:v>
      </x:c>
      <x:c r="E11" s="13" t="str">
        <x:v>Clear PPF category card</x:v>
      </x:c>
      <x:c r="F11" s="13" t="str">
        <x:v>home-card-clear-ppf.webp</x:v>
      </x:c>
      <x:c r="G11" s="13" t="str">
        <x:v>P0</x:v>
      </x:c>
      <x:c r="H11" s="13" t="str">
        <x:v>AI render (Launch v1)</x:v>
      </x:c>
      <x:c r="I11" s="13" t="str">
        <x:v>16:9</x:v>
      </x:c>
      <x:c r="J11" s="13" t="str">
        <x:v>1200 x 700</x:v>
      </x:c>
      <x:c r="K11" s="13" t="str">
        <x:v>Water/film macro across top</x:v>
      </x:c>
      <x:c r="L11" s="13" t="str">
        <x:v>4:3 card crop</x:v>
      </x:c>
      <x:c r="M11" s="13" t="str">
        <x:v>Black/gray macro with water beads and clear film line; premium contrast within white card.</x:v>
      </x:c>
      <x:c r="N11" s="13" t="str">
        <x:v>Should match original first mockup card mood. Launch v1 direction: AI render approved by owner; generate in Apple-style white/silver premium theme with restrained red accents.</x:v>
      </x:c>
      <x:c r="O11" s="13" t="str">
        <x:v>Over-dark page background; visible text baked into image. QA for AI artifacts, distorted logos, fake badges, wrong text, wrong proportions, inconsistent reflections.</x:v>
      </x:c>
      <x:c r="P11" s="13" t="str">
        <x:v>Clear PPF category image showing water beads on a protected car surface.</x:v>
      </x:c>
      <x:c r="Q11" s="13" t="str">
        <x:v>AI render queued</x:v>
      </x:c>
      <x:c r="R11" s="13" t="str">
        <x:v>Designer / AI Render</x:v>
      </x:c>
      <x:c r="S11" s="13"/>
      <x:c r="T11" s="13" t="str">
        <x:v>Homepage Final</x:v>
      </x:c>
    </x:row>
    <x:row r="12">
      <x:c r="A12" s="13" t="str">
        <x:v>HOME-007</x:v>
      </x:c>
      <x:c r="B12" s="13" t="str">
        <x:v>Homepage</x:v>
      </x:c>
      <x:c r="C12" s="13" t="str">
        <x:v>Choose Your Film System</x:v>
      </x:c>
      <x:c r="D12" s="13" t="str">
        <x:v>Matte PPF</x:v>
      </x:c>
      <x:c r="E12" s="13" t="str">
        <x:v>Matte PPF category card</x:v>
      </x:c>
      <x:c r="F12" s="13" t="str">
        <x:v>home-card-matte-ppf.webp</x:v>
      </x:c>
      <x:c r="G12" s="13" t="str">
        <x:v>P0</x:v>
      </x:c>
      <x:c r="H12" s="13" t="str">
        <x:v>AI render (Launch v1)</x:v>
      </x:c>
      <x:c r="I12" s="13" t="str">
        <x:v>16:9</x:v>
      </x:c>
      <x:c r="J12" s="13" t="str">
        <x:v>1200 x 700</x:v>
      </x:c>
      <x:c r="K12" s="13" t="str">
        <x:v>Matte body panel detail</x:v>
      </x:c>
      <x:c r="L12" s="13" t="str">
        <x:v>4:3 card crop</x:v>
      </x:c>
      <x:c r="M12" s="13" t="str">
        <x:v>Satin gray body panel, soft reflection, clean premium matte look.</x:v>
      </x:c>
      <x:c r="N12" s="13" t="str">
        <x:v>Use low-gloss surface, not glossy. Launch v1 direction: AI render approved by owner; generate in Apple-style white/silver premium theme with restrained red accents.</x:v>
      </x:c>
      <x:c r="O12" s="13" t="str">
        <x:v>Too glossy; harsh black theme. QA for AI artifacts, distorted logos, fake badges, wrong text, wrong proportions, inconsistent reflections.</x:v>
      </x:c>
      <x:c r="P12" s="13" t="str">
        <x:v>Matte PPF category image showing a satin gray car surface.</x:v>
      </x:c>
      <x:c r="Q12" s="13" t="str">
        <x:v>AI render queued</x:v>
      </x:c>
      <x:c r="R12" s="13" t="str">
        <x:v>Designer / AI Render</x:v>
      </x:c>
      <x:c r="S12" s="13"/>
      <x:c r="T12" s="13" t="str">
        <x:v>Homepage Final</x:v>
      </x:c>
    </x:row>
    <x:row r="13">
      <x:c r="A13" s="13" t="str">
        <x:v>HOME-008</x:v>
      </x:c>
      <x:c r="B13" s="13" t="str">
        <x:v>Homepage</x:v>
      </x:c>
      <x:c r="C13" s="13" t="str">
        <x:v>Choose Your Film System</x:v>
      </x:c>
      <x:c r="D13" s="13" t="str">
        <x:v>Color PPF</x:v>
      </x:c>
      <x:c r="E13" s="13" t="str">
        <x:v>Color PPF category card</x:v>
      </x:c>
      <x:c r="F13" s="13" t="str">
        <x:v>home-card-color-ppf.webp</x:v>
      </x:c>
      <x:c r="G13" s="13" t="str">
        <x:v>P0</x:v>
      </x:c>
      <x:c r="H13" s="13" t="str">
        <x:v>AI render (Launch v1)</x:v>
      </x:c>
      <x:c r="I13" s="13" t="str">
        <x:v>16:9</x:v>
      </x:c>
      <x:c r="J13" s="13" t="str">
        <x:v>1200 x 700</x:v>
      </x:c>
      <x:c r="K13" s="13" t="str">
        <x:v>Red car detail</x:v>
      </x:c>
      <x:c r="L13" s="13" t="str">
        <x:v>4:3 card crop</x:v>
      </x:c>
      <x:c r="M13" s="13" t="str">
        <x:v>Red sports car detail inside card; creates color contrast while page remains white.</x:v>
      </x:c>
      <x:c r="N13" s="13" t="str">
        <x:v>Red should be strong but contained. Launch v1 direction: AI render approved by owner; generate in Apple-style white/silver premium theme with restrained red accents.</x:v>
      </x:c>
      <x:c r="O13" s="13" t="str">
        <x:v>Overuse red outside image; neon overkill. QA for AI artifacts, distorted logos, fake badges, wrong text, wrong proportions, inconsistent reflections.</x:v>
      </x:c>
      <x:c r="P13" s="13" t="str">
        <x:v>Color PPF category image showing a red premium car surface.</x:v>
      </x:c>
      <x:c r="Q13" s="13" t="str">
        <x:v>AI render queued</x:v>
      </x:c>
      <x:c r="R13" s="13" t="str">
        <x:v>Designer / AI Render</x:v>
      </x:c>
      <x:c r="S13" s="13"/>
      <x:c r="T13" s="13" t="str">
        <x:v>Homepage Final</x:v>
      </x:c>
    </x:row>
    <x:row r="14">
      <x:c r="A14" s="13" t="str">
        <x:v>HOME-009</x:v>
      </x:c>
      <x:c r="B14" s="13" t="str">
        <x:v>Homepage</x:v>
      </x:c>
      <x:c r="C14" s="13" t="str">
        <x:v>Clear PPF Lineup</x:v>
      </x:c>
      <x:c r="D14" s="13" t="str">
        <x:v>Clear PPF</x:v>
      </x:c>
      <x:c r="E14" s="13" t="str">
        <x:v>Clear lineup film roll group</x:v>
      </x:c>
      <x:c r="F14" s="13" t="str">
        <x:v>home-clear-lineup-rolls.webp</x:v>
      </x:c>
      <x:c r="G14" s="13" t="str">
        <x:v>P0</x:v>
      </x:c>
      <x:c r="H14" s="13" t="str">
        <x:v>AI render (Launch v1)</x:v>
      </x:c>
      <x:c r="I14" s="13" t="str">
        <x:v>4:3</x:v>
      </x:c>
      <x:c r="J14" s="13" t="str">
        <x:v>1600 x 1000</x:v>
      </x:c>
      <x:c r="K14" s="13" t="str">
        <x:v>Transparent roll group</x:v>
      </x:c>
      <x:c r="L14" s="13" t="str">
        <x:v>Square crop</x:v>
      </x:c>
      <x:c r="M14" s="13" t="str">
        <x:v>Four transparent film roll renders for Begin/Prime/Pro/Ultimate, subtle differences in gloss.</x:v>
      </x:c>
      <x:c r="N14" s="13" t="str">
        <x:v>Can render one base roll and reuse with controlled variations. Launch v1 direction: AI render approved by owner; generate in Apple-style white/silver premium theme with restrained red accents.</x:v>
      </x:c>
      <x:c r="O14" s="13" t="str">
        <x:v>Fake labels on film; colorful rolls for clear product. QA for AI artifacts, distorted logos, fake badges, wrong text, wrong proportions, inconsistent reflections.</x:v>
      </x:c>
      <x:c r="P14" s="13" t="str">
        <x:v>Transparent film roll renders for the Clear PPF lineup.</x:v>
      </x:c>
      <x:c r="Q14" s="13" t="str">
        <x:v>AI render queued</x:v>
      </x:c>
      <x:c r="R14" s="13" t="str">
        <x:v>Designer / AI Render</x:v>
      </x:c>
      <x:c r="S14" s="13"/>
      <x:c r="T14" s="13" t="str">
        <x:v>Homepage Final</x:v>
      </x:c>
    </x:row>
    <x:row r="15">
      <x:c r="A15" s="13" t="str">
        <x:v>HOME-010</x:v>
      </x:c>
      <x:c r="B15" s="13" t="str">
        <x:v>Homepage</x:v>
      </x:c>
      <x:c r="C15" s="13" t="str">
        <x:v>Matte PPF section</x:v>
      </x:c>
      <x:c r="D15" s="13" t="str">
        <x:v>Matte PPF</x:v>
      </x:c>
      <x:c r="E15" s="13" t="str">
        <x:v>Matte section car and roll</x:v>
      </x:c>
      <x:c r="F15" s="13" t="str">
        <x:v>home-matte-section-car-roll.webp</x:v>
      </x:c>
      <x:c r="G15" s="13" t="str">
        <x:v>P1</x:v>
      </x:c>
      <x:c r="H15" s="13" t="str">
        <x:v>AI render</x:v>
      </x:c>
      <x:c r="I15" s="13" t="str">
        <x:v>16:9</x:v>
      </x:c>
      <x:c r="J15" s="13" t="str">
        <x:v>1400 x 900</x:v>
      </x:c>
      <x:c r="K15" s="13" t="str">
        <x:v>Car left, roll cards bottom</x:v>
      </x:c>
      <x:c r="L15" s="13" t="str">
        <x:v>4:3 crop</x:v>
      </x:c>
      <x:c r="M15" s="13" t="str">
        <x:v>Satin gray car and matte roll close-ups; integrate with 3 product tiers in copy.</x:v>
      </x:c>
      <x:c r="N15" s="13" t="str">
        <x:v>Need align with Matte Prime / Pro / Ultimate.</x:v>
      </x:c>
      <x:c r="O15" s="13" t="str">
        <x:v>Only 2 matte cards after new decision unless page intentionally shows preview only.</x:v>
      </x:c>
      <x:c r="P15" s="13" t="str">
        <x:v>Matte PPF section image with a satin gray car and matte film rolls.</x:v>
      </x:c>
      <x:c r="Q15" s="13" t="str">
        <x:v>To produce</x:v>
      </x:c>
      <x:c r="R15" s="13"/>
      <x:c r="S15" s="13"/>
      <x:c r="T15" s="13" t="str">
        <x:v>Homepage Final</x:v>
      </x:c>
    </x:row>
    <x:row r="16">
      <x:c r="A16" s="13" t="str">
        <x:v>HOME-011</x:v>
      </x:c>
      <x:c r="B16" s="13" t="str">
        <x:v>Homepage</x:v>
      </x:c>
      <x:c r="C16" s="13" t="str">
        <x:v>Color PPF section</x:v>
      </x:c>
      <x:c r="D16" s="13" t="str">
        <x:v>Color PPF</x:v>
      </x:c>
      <x:c r="E16" s="13" t="str">
        <x:v>Color section car and 5 cards</x:v>
      </x:c>
      <x:c r="F16" s="13" t="str">
        <x:v>home-color-section-five-tiers.webp</x:v>
      </x:c>
      <x:c r="G16" s="13" t="str">
        <x:v>P1</x:v>
      </x:c>
      <x:c r="H16" s="13" t="str">
        <x:v>AI render</x:v>
      </x:c>
      <x:c r="I16" s="13" t="str">
        <x:v>16:9</x:v>
      </x:c>
      <x:c r="J16" s="13" t="str">
        <x:v>1400 x 900</x:v>
      </x:c>
      <x:c r="K16" s="13" t="str">
        <x:v>Color car with product cards</x:v>
      </x:c>
      <x:c r="L16" s="13" t="str">
        <x:v>4:3 crop</x:v>
      </x:c>
      <x:c r="M16" s="13" t="str">
        <x:v>Colorful premium car visual with five product tier card thumbnails.</x:v>
      </x:c>
      <x:c r="N16" s="13" t="str">
        <x:v>Must show Color Begin / Prime / Pro / Ultimate / Ultimate Carbon Fiber.</x:v>
      </x:c>
      <x:c r="O16" s="13" t="str">
        <x:v>Old Gloss/Satin/Shift tier names as main products.</x:v>
      </x:c>
      <x:c r="P16" s="13" t="str">
        <x:v>Color PPF section image showing five color film tiers.</x:v>
      </x:c>
      <x:c r="Q16" s="13" t="str">
        <x:v>To produce</x:v>
      </x:c>
      <x:c r="R16" s="13"/>
      <x:c r="S16" s="13"/>
      <x:c r="T16" s="13" t="str">
        <x:v>Homepage Final</x:v>
      </x:c>
    </x:row>
    <x:row r="17">
      <x:c r="A17" s="13" t="str">
        <x:v>HOME-012</x:v>
      </x:c>
      <x:c r="B17" s="13" t="str">
        <x:v>Homepage</x:v>
      </x:c>
      <x:c r="C17" s="13" t="str">
        <x:v>Technology</x:v>
      </x:c>
      <x:c r="D17" s="13" t="str">
        <x:v>Technology</x:v>
      </x:c>
      <x:c r="E17" s="13" t="str">
        <x:v>Advanced film layer stack</x:v>
      </x:c>
      <x:c r="F17" s="13" t="str">
        <x:v>home-technology-layer-stack.webp</x:v>
      </x:c>
      <x:c r="G17" s="13" t="str">
        <x:v>P0</x:v>
      </x:c>
      <x:c r="H17" s="13" t="str">
        <x:v>AI render (Launch v1)</x:v>
      </x:c>
      <x:c r="I17" s="13" t="str">
        <x:v>3:2</x:v>
      </x:c>
      <x:c r="J17" s="13" t="str">
        <x:v>1600 x 1000</x:v>
      </x:c>
      <x:c r="K17" s="13" t="str">
        <x:v>Floating layer stack center/right</x:v>
      </x:c>
      <x:c r="L17" s="13" t="str">
        <x:v>Square crop</x:v>
      </x:c>
      <x:c r="M17" s="13" t="str">
        <x:v>Translucent multi-layer film stack on white background; premium technical render.</x:v>
      </x:c>
      <x:c r="N17" s="13" t="str">
        <x:v>No text labels baked into image; UI can add labels. Launch v1 direction: AI render approved by owner; generate in Apple-style white/silver premium theme with restrained red accents.</x:v>
      </x:c>
      <x:c r="O17" s="13" t="str">
        <x:v>Busy engineering diagram; dark sci-fi look. QA for AI artifacts, distorted logos, fake badges, wrong text, wrong proportions, inconsistent reflections.</x:v>
      </x:c>
      <x:c r="P17" s="13" t="str">
        <x:v>Floating multi-layer automotive film structure showing advanced film technology.</x:v>
      </x:c>
      <x:c r="Q17" s="13" t="str">
        <x:v>AI render queued</x:v>
      </x:c>
      <x:c r="R17" s="13" t="str">
        <x:v>Designer / AI Render</x:v>
      </x:c>
      <x:c r="S17" s="13"/>
      <x:c r="T17" s="13" t="str">
        <x:v>Homepage Final</x:v>
      </x:c>
    </x:row>
    <x:row r="18">
      <x:c r="A18" s="13" t="str">
        <x:v>HOME-013</x:v>
      </x:c>
      <x:c r="B18" s="13" t="str">
        <x:v>Homepage</x:v>
      </x:c>
      <x:c r="C18" s="13" t="str">
        <x:v>Dealer / Installer</x:v>
      </x:c>
      <x:c r="D18" s="13" t="str">
        <x:v>Dealer/Installer</x:v>
      </x:c>
      <x:c r="E18" s="13" t="str">
        <x:v>Installer applying film</x:v>
      </x:c>
      <x:c r="F18" s="13" t="str">
        <x:v>home-installer-applying-film.webp</x:v>
      </x:c>
      <x:c r="G18" s="13" t="str">
        <x:v>P1</x:v>
      </x:c>
      <x:c r="H18" s="13" t="str">
        <x:v>Real photo</x:v>
      </x:c>
      <x:c r="I18" s="13" t="str">
        <x:v>16:9</x:v>
      </x:c>
      <x:c r="J18" s="13" t="str">
        <x:v>1400 x 900</x:v>
      </x:c>
      <x:c r="K18" s="13" t="str">
        <x:v>Technician hands + car panel</x:v>
      </x:c>
      <x:c r="L18" s="13" t="str">
        <x:v>4:5 crop</x:v>
      </x:c>
      <x:c r="M18" s="13" t="str">
        <x:v>Professional installer in clean workshop applying PPF; NEXS shirt optional.</x:v>
      </x:c>
      <x:c r="N18" s="13" t="str">
        <x:v>Real photo preferred for trust.</x:v>
      </x:c>
      <x:c r="O18" s="13" t="str">
        <x:v>Messy tools, poor lighting, visible unapproved logos.</x:v>
      </x:c>
      <x:c r="P18" s="13" t="str">
        <x:v>Professional installer applying NEXS film to a vehicle panel.</x:v>
      </x:c>
      <x:c r="Q18" s="13" t="str">
        <x:v>To produce</x:v>
      </x:c>
      <x:c r="R18" s="13"/>
      <x:c r="S18" s="13"/>
      <x:c r="T18" s="13" t="str">
        <x:v>Homepage Final</x:v>
      </x:c>
    </x:row>
    <x:row r="19">
      <x:c r="A19" s="13" t="str">
        <x:v>HOME-014</x:v>
      </x:c>
      <x:c r="B19" s="13" t="str">
        <x:v>Homepage</x:v>
      </x:c>
      <x:c r="C19" s="13" t="str">
        <x:v>Dealer / Installer</x:v>
      </x:c>
      <x:c r="D19" s="13" t="str">
        <x:v>Dealer/Installer</x:v>
      </x:c>
      <x:c r="E19" s="13" t="str">
        <x:v>Premium dealer showroom</x:v>
      </x:c>
      <x:c r="F19" s="13" t="str">
        <x:v>home-dealer-showroom.webp</x:v>
      </x:c>
      <x:c r="G19" s="13" t="str">
        <x:v>P1</x:v>
      </x:c>
      <x:c r="H19" s="13" t="str">
        <x:v>Real photo</x:v>
      </x:c>
      <x:c r="I19" s="13" t="str">
        <x:v>16:9</x:v>
      </x:c>
      <x:c r="J19" s="13" t="str">
        <x:v>1400 x 900</x:v>
      </x:c>
      <x:c r="K19" s="13" t="str">
        <x:v>NEXS wall and car</x:v>
      </x:c>
      <x:c r="L19" s="13" t="str">
        <x:v>4:5 crop</x:v>
      </x:c>
      <x:c r="M19" s="13" t="str">
        <x:v>Bright white/gray premium workshop/showroom with car and NEXS signage.</x:v>
      </x:c>
      <x:c r="N19" s="13" t="str">
        <x:v>Can use staged 3D/AI until real showroom exists.</x:v>
      </x:c>
      <x:c r="O19" s="13" t="str">
        <x:v>Dark garage, clutter, cheap signage.</x:v>
      </x:c>
      <x:c r="P19" s="13" t="str">
        <x:v>Premium NEXS dealer showroom with a clean studio environment.</x:v>
      </x:c>
      <x:c r="Q19" s="13" t="str">
        <x:v>To produce</x:v>
      </x:c>
      <x:c r="R19" s="13"/>
      <x:c r="S19" s="13"/>
      <x:c r="T19" s="13" t="str">
        <x:v>Homepage Final</x:v>
      </x:c>
    </x:row>
    <x:row r="20">
      <x:c r="A20" s="13" t="str">
        <x:v>HOME-015</x:v>
      </x:c>
      <x:c r="B20" s="13" t="str">
        <x:v>Homepage</x:v>
      </x:c>
      <x:c r="C20" s="13" t="str">
        <x:v>FAQ / Support</x:v>
      </x:c>
      <x:c r="D20" s="13" t="str">
        <x:v>Global</x:v>
      </x:c>
      <x:c r="E20" s="13" t="str">
        <x:v>Support line illustration</x:v>
      </x:c>
      <x:c r="F20" s="13" t="str">
        <x:v>home-faq-support-icon.svg</x:v>
      </x:c>
      <x:c r="G20" s="13" t="str">
        <x:v>P2</x:v>
      </x:c>
      <x:c r="H20" s="13" t="str">
        <x:v>Vector icon</x:v>
      </x:c>
      <x:c r="I20" s="13" t="str">
        <x:v>1:1</x:v>
      </x:c>
      <x:c r="J20" s="13" t="str">
        <x:v>SVG</x:v>
      </x:c>
      <x:c r="K20" s="13" t="str">
        <x:v>N/A</x:v>
      </x:c>
      <x:c r="L20" s="13" t="str">
        <x:v>N/A</x:v>
      </x:c>
      <x:c r="M20" s="13" t="str">
        <x:v>Minimal support/help icon consistent with line icon set.</x:v>
      </x:c>
      <x:c r="N20" s="13" t="str">
        <x:v>Use as FAQ or help CTA accent.</x:v>
      </x:c>
      <x:c r="O20" s="13" t="str">
        <x:v>Cartoon headset icon style mismatch.</x:v>
      </x:c>
      <x:c r="P20" s="13" t="str">
        <x:v>Minimal support icon for help and FAQ sections.</x:v>
      </x:c>
      <x:c r="Q20" s="13" t="str">
        <x:v>To produce</x:v>
      </x:c>
      <x:c r="R20" s="13"/>
      <x:c r="S20" s="13"/>
      <x:c r="T20" s="13" t="str">
        <x:v>Homepage Final</x:v>
      </x:c>
    </x:row>
    <x:row r="21">
      <x:c r="A21" s="13" t="str">
        <x:v>CLR-001</x:v>
      </x:c>
      <x:c r="B21" s="13" t="str">
        <x:v>Clear PPF</x:v>
      </x:c>
      <x:c r="C21" s="13" t="str">
        <x:v>Hero</x:v>
      </x:c>
      <x:c r="D21" s="13" t="str">
        <x:v>Clear PPF</x:v>
      </x:c>
      <x:c r="E21" s="13" t="str">
        <x:v>Clear PPF hero car</x:v>
      </x:c>
      <x:c r="F21" s="13" t="str">
        <x:v>clear-hero-silver-car.webp</x:v>
      </x:c>
      <x:c r="G21" s="13" t="str">
        <x:v>P0</x:v>
      </x:c>
      <x:c r="H21" s="13" t="str">
        <x:v>AI render (Launch v1)</x:v>
      </x:c>
      <x:c r="I21" s="13" t="str">
        <x:v>16:9</x:v>
      </x:c>
      <x:c r="J21" s="13" t="str">
        <x:v>2880 x 1500</x:v>
      </x:c>
      <x:c r="K21" s="13" t="str">
        <x:v>Car right; copy left</x:v>
      </x:c>
      <x:c r="L21" s="13" t="str">
        <x:v>4:5 hero mobile</x:v>
      </x:c>
      <x:c r="M21" s="13" t="str">
        <x:v>Silver/white car in white studio, invisible film concept, crisp reflections.</x:v>
      </x:c>
      <x:c r="N21" s="13" t="str">
        <x:v>Should feel like original Clear PPF page with Apple white mood. Launch v1 direction: AI render approved by owner; generate in Apple-style white/silver premium theme with restrained red accents.</x:v>
      </x:c>
      <x:c r="O21" s="13" t="str">
        <x:v>Dark hero, colorful car. QA for AI artifacts, distorted logos, fake badges, wrong text, wrong proportions, inconsistent reflections.</x:v>
      </x:c>
      <x:c r="P21" s="13" t="str">
        <x:v>Silver car hero image for Clear PPF Collection page.</x:v>
      </x:c>
      <x:c r="Q21" s="13" t="str">
        <x:v>AI render queued</x:v>
      </x:c>
      <x:c r="R21" s="13" t="str">
        <x:v>Designer / AI Render</x:v>
      </x:c>
      <x:c r="S21" s="13"/>
      <x:c r="T21" s="13" t="str">
        <x:v>Clear PPF</x:v>
      </x:c>
    </x:row>
    <x:row r="22">
      <x:c r="A22" s="13" t="str">
        <x:v>CLR-002</x:v>
      </x:c>
      <x:c r="B22" s="13" t="str">
        <x:v>Clear PPF</x:v>
      </x:c>
      <x:c r="C22" s="13" t="str">
        <x:v>Product cards</x:v>
      </x:c>
      <x:c r="D22" s="13" t="str">
        <x:v>Clear PPF</x:v>
      </x:c>
      <x:c r="E22" s="13" t="str">
        <x:v>Begin film roll</x:v>
      </x:c>
      <x:c r="F22" s="13" t="str">
        <x:v>clear-begin-roll.webp</x:v>
      </x:c>
      <x:c r="G22" s="13" t="str">
        <x:v>P0</x:v>
      </x:c>
      <x:c r="H22" s="13" t="str">
        <x:v>AI render (Launch v1)</x:v>
      </x:c>
      <x:c r="I22" s="13" t="str">
        <x:v>4:3</x:v>
      </x:c>
      <x:c r="J22" s="13" t="str">
        <x:v>1200 x 900</x:v>
      </x:c>
      <x:c r="K22" s="13" t="str">
        <x:v>Roll on right with negative space</x:v>
      </x:c>
      <x:c r="L22" s="13" t="str">
        <x:v>Square crop</x:v>
      </x:c>
      <x:c r="M22" s="13" t="str">
        <x:v>Transparent film roll; slightly simple entry look; clean white shadow.</x:v>
      </x:c>
      <x:c r="N22" s="13" t="str">
        <x:v>Used in Begin product card. Launch v1 direction: AI render approved by owner; generate in Apple-style white/silver premium theme with restrained red accents.</x:v>
      </x:c>
      <x:c r="O22" s="13" t="str">
        <x:v>Text/labels baked into roll. QA for AI artifacts, distorted logos, fake badges, wrong text, wrong proportions, inconsistent reflections.</x:v>
      </x:c>
      <x:c r="P22" s="13" t="str">
        <x:v>Clear transparent film roll for NEXS Begin PPF.</x:v>
      </x:c>
      <x:c r="Q22" s="13" t="str">
        <x:v>AI render queued</x:v>
      </x:c>
      <x:c r="R22" s="13" t="str">
        <x:v>Designer / AI Render</x:v>
      </x:c>
      <x:c r="S22" s="13"/>
      <x:c r="T22" s="13" t="str">
        <x:v>Clear PPF</x:v>
      </x:c>
    </x:row>
    <x:row r="23">
      <x:c r="A23" s="13" t="str">
        <x:v>CLR-003</x:v>
      </x:c>
      <x:c r="B23" s="13" t="str">
        <x:v>Clear PPF</x:v>
      </x:c>
      <x:c r="C23" s="13" t="str">
        <x:v>Product cards</x:v>
      </x:c>
      <x:c r="D23" s="13" t="str">
        <x:v>Clear PPF</x:v>
      </x:c>
      <x:c r="E23" s="13" t="str">
        <x:v>Prime film roll</x:v>
      </x:c>
      <x:c r="F23" s="13" t="str">
        <x:v>clear-prime-roll.webp</x:v>
      </x:c>
      <x:c r="G23" s="13" t="str">
        <x:v>P0</x:v>
      </x:c>
      <x:c r="H23" s="13" t="str">
        <x:v>AI render (Launch v1)</x:v>
      </x:c>
      <x:c r="I23" s="13" t="str">
        <x:v>4:3</x:v>
      </x:c>
      <x:c r="J23" s="13" t="str">
        <x:v>1200 x 900</x:v>
      </x:c>
      <x:c r="K23" s="13" t="str">
        <x:v>Roll on right</x:v>
      </x:c>
      <x:c r="L23" s="13" t="str">
        <x:v>Square crop</x:v>
      </x:c>
      <x:c r="M23" s="13" t="str">
        <x:v>Transparent film roll with slightly richer gloss than Begin.</x:v>
      </x:c>
      <x:c r="N23" s="13" t="str">
        <x:v>Used in Prime product card. Launch v1 direction: AI render approved by owner; generate in Apple-style white/silver premium theme with restrained red accents.</x:v>
      </x:c>
      <x:c r="O23" s="13" t="str">
        <x:v>Different color tint too strong. QA for AI artifacts, distorted logos, fake badges, wrong text, wrong proportions, inconsistent reflections.</x:v>
      </x:c>
      <x:c r="P23" s="13" t="str">
        <x:v>Clear transparent film roll for NEXS Prime PPF.</x:v>
      </x:c>
      <x:c r="Q23" s="13" t="str">
        <x:v>AI render queued</x:v>
      </x:c>
      <x:c r="R23" s="13" t="str">
        <x:v>Designer / AI Render</x:v>
      </x:c>
      <x:c r="S23" s="13"/>
      <x:c r="T23" s="13" t="str">
        <x:v>Clear PPF</x:v>
      </x:c>
    </x:row>
    <x:row r="24">
      <x:c r="A24" s="13" t="str">
        <x:v>CLR-004</x:v>
      </x:c>
      <x:c r="B24" s="13" t="str">
        <x:v>Clear PPF</x:v>
      </x:c>
      <x:c r="C24" s="13" t="str">
        <x:v>Product cards</x:v>
      </x:c>
      <x:c r="D24" s="13" t="str">
        <x:v>Clear PPF</x:v>
      </x:c>
      <x:c r="E24" s="13" t="str">
        <x:v>Pro film roll</x:v>
      </x:c>
      <x:c r="F24" s="13" t="str">
        <x:v>clear-pro-roll.webp</x:v>
      </x:c>
      <x:c r="G24" s="13" t="str">
        <x:v>P0</x:v>
      </x:c>
      <x:c r="H24" s="13" t="str">
        <x:v>AI render (Launch v1)</x:v>
      </x:c>
      <x:c r="I24" s="13" t="str">
        <x:v>4:3</x:v>
      </x:c>
      <x:c r="J24" s="13" t="str">
        <x:v>1200 x 900</x:v>
      </x:c>
      <x:c r="K24" s="13" t="str">
        <x:v>Roll on right</x:v>
      </x:c>
      <x:c r="L24" s="13" t="str">
        <x:v>Square crop</x:v>
      </x:c>
      <x:c r="M24" s="13" t="str">
        <x:v>Transparent film roll with premium highlight and smooth curve.</x:v>
      </x:c>
      <x:c r="N24" s="13" t="str">
        <x:v>Used in Pro product card. Launch v1 direction: AI render approved by owner; generate in Apple-style white/silver premium theme with restrained red accents.</x:v>
      </x:c>
      <x:c r="O24" s="13" t="str">
        <x:v>Overly colored or opaque film. QA for AI artifacts, distorted logos, fake badges, wrong text, wrong proportions, inconsistent reflections.</x:v>
      </x:c>
      <x:c r="P24" s="13" t="str">
        <x:v>Clear transparent film roll for NEXS Pro PPF.</x:v>
      </x:c>
      <x:c r="Q24" s="13" t="str">
        <x:v>AI render queued</x:v>
      </x:c>
      <x:c r="R24" s="13" t="str">
        <x:v>Designer / AI Render</x:v>
      </x:c>
      <x:c r="S24" s="13"/>
      <x:c r="T24" s="13" t="str">
        <x:v>Clear PPF</x:v>
      </x:c>
    </x:row>
    <x:row r="25">
      <x:c r="A25" s="13" t="str">
        <x:v>CLR-005</x:v>
      </x:c>
      <x:c r="B25" s="13" t="str">
        <x:v>Clear PPF</x:v>
      </x:c>
      <x:c r="C25" s="13" t="str">
        <x:v>Product cards</x:v>
      </x:c>
      <x:c r="D25" s="13" t="str">
        <x:v>Clear PPF</x:v>
      </x:c>
      <x:c r="E25" s="13" t="str">
        <x:v>Ultimate film roll</x:v>
      </x:c>
      <x:c r="F25" s="13" t="str">
        <x:v>clear-ultimate-roll.webp</x:v>
      </x:c>
      <x:c r="G25" s="13" t="str">
        <x:v>P0</x:v>
      </x:c>
      <x:c r="H25" s="13" t="str">
        <x:v>AI render (Launch v1)</x:v>
      </x:c>
      <x:c r="I25" s="13" t="str">
        <x:v>4:3</x:v>
      </x:c>
      <x:c r="J25" s="13" t="str">
        <x:v>1200 x 900</x:v>
      </x:c>
      <x:c r="K25" s="13" t="str">
        <x:v>Roll on right</x:v>
      </x:c>
      <x:c r="L25" s="13" t="str">
        <x:v>Square crop</x:v>
      </x:c>
      <x:c r="M25" s="13" t="str">
        <x:v>Highest gloss transparent film roll, slight pearl highlight, premium finish.</x:v>
      </x:c>
      <x:c r="N25" s="13" t="str">
        <x:v>Used in Ultimate product card. Launch v1 direction: AI render approved by owner; generate in Apple-style white/silver premium theme with restrained red accents.</x:v>
      </x:c>
      <x:c r="O25" s="13" t="str">
        <x:v>Pink tint too strong unless approved. QA for AI artifacts, distorted logos, fake badges, wrong text, wrong proportions, inconsistent reflections.</x:v>
      </x:c>
      <x:c r="P25" s="13" t="str">
        <x:v>Clear transparent film roll for NEXS Ultimate PPF.</x:v>
      </x:c>
      <x:c r="Q25" s="13" t="str">
        <x:v>AI render queued</x:v>
      </x:c>
      <x:c r="R25" s="13" t="str">
        <x:v>Designer / AI Render</x:v>
      </x:c>
      <x:c r="S25" s="13"/>
      <x:c r="T25" s="13" t="str">
        <x:v>Clear PPF</x:v>
      </x:c>
    </x:row>
    <x:row r="26">
      <x:c r="A26" s="13" t="str">
        <x:v>CLR-006</x:v>
      </x:c>
      <x:c r="B26" s="13" t="str">
        <x:v>Clear PPF</x:v>
      </x:c>
      <x:c r="C26" s="13" t="str">
        <x:v>Comparison</x:v>
      </x:c>
      <x:c r="D26" s="13" t="str">
        <x:v>Clear PPF</x:v>
      </x:c>
      <x:c r="E26" s="13" t="str">
        <x:v>Comparison table subtle background</x:v>
      </x:c>
      <x:c r="F26" s="13" t="str">
        <x:v>clear-comparison-bg.webp</x:v>
      </x:c>
      <x:c r="G26" s="13" t="str">
        <x:v>P2</x:v>
      </x:c>
      <x:c r="H26" s="13" t="str">
        <x:v>AI render</x:v>
      </x:c>
      <x:c r="I26" s="13" t="str">
        <x:v>16:9</x:v>
      </x:c>
      <x:c r="J26" s="13" t="str">
        <x:v>1600 x 600</x:v>
      </x:c>
      <x:c r="K26" s="13" t="str">
        <x:v>Abstract transparent surface</x:v>
      </x:c>
      <x:c r="L26" s="13" t="str">
        <x:v>Horizontal crop</x:v>
      </x:c>
      <x:c r="M26" s="13" t="str">
        <x:v>Very subtle transparent film background for comparison area.</x:v>
      </x:c>
      <x:c r="N26" s="13" t="str">
        <x:v>Could be omitted if UI is clean.</x:v>
      </x:c>
      <x:c r="O26" s="13" t="str">
        <x:v>Distracting background behind text.</x:v>
      </x:c>
      <x:c r="P26" s="13" t="str">
        <x:v>Subtle clear film texture background for comparison table.</x:v>
      </x:c>
      <x:c r="Q26" s="13" t="str">
        <x:v>To produce</x:v>
      </x:c>
      <x:c r="R26" s="13"/>
      <x:c r="S26" s="13"/>
      <x:c r="T26" s="13" t="str">
        <x:v>Clear PPF</x:v>
      </x:c>
    </x:row>
    <x:row r="27">
      <x:c r="A27" s="13" t="str">
        <x:v>CLR-007</x:v>
      </x:c>
      <x:c r="B27" s="13" t="str">
        <x:v>Clear PPF</x:v>
      </x:c>
      <x:c r="C27" s="13" t="str">
        <x:v>Why Clear PPF</x:v>
      </x:c>
      <x:c r="D27" s="13" t="str">
        <x:v>Clear PPF</x:v>
      </x:c>
      <x:c r="E27" s="13" t="str">
        <x:v>Invisible protection visual</x:v>
      </x:c>
      <x:c r="F27" s="13" t="str">
        <x:v>clear-invisible-protection.webp</x:v>
      </x:c>
      <x:c r="G27" s="13" t="str">
        <x:v>P1</x:v>
      </x:c>
      <x:c r="H27" s="13" t="str">
        <x:v>AI render</x:v>
      </x:c>
      <x:c r="I27" s="13" t="str">
        <x:v>4:3</x:v>
      </x:c>
      <x:c r="J27" s="13" t="str">
        <x:v>1000 x 750</x:v>
      </x:c>
      <x:c r="K27" s="13" t="str">
        <x:v>Panel edge with invisible film</x:v>
      </x:c>
      <x:c r="L27" s="13" t="str">
        <x:v>Square crop</x:v>
      </x:c>
      <x:c r="M27" s="13" t="str">
        <x:v>Close-up of seamless PPF edge, almost invisible on painted surface.</x:v>
      </x:c>
      <x:c r="N27" s="13" t="str">
        <x:v>Shows invisible quality.</x:v>
      </x:c>
      <x:c r="O27" s="13" t="str">
        <x:v>Obvious thick film edge.</x:v>
      </x:c>
      <x:c r="P27" s="13" t="str">
        <x:v>Close-up of invisible clear paint protection film on a car panel.</x:v>
      </x:c>
      <x:c r="Q27" s="13" t="str">
        <x:v>To produce</x:v>
      </x:c>
      <x:c r="R27" s="13"/>
      <x:c r="S27" s="13"/>
      <x:c r="T27" s="13" t="str">
        <x:v>Clear PPF</x:v>
      </x:c>
    </x:row>
    <x:row r="28">
      <x:c r="A28" s="13" t="str">
        <x:v>CLR-008</x:v>
      </x:c>
      <x:c r="B28" s="13" t="str">
        <x:v>Clear PPF</x:v>
      </x:c>
      <x:c r="C28" s="13" t="str">
        <x:v>Why Clear PPF</x:v>
      </x:c>
      <x:c r="D28" s="13" t="str">
        <x:v>Clear PPF</x:v>
      </x:c>
      <x:c r="E28" s="13" t="str">
        <x:v>Gloss enhancement visual</x:v>
      </x:c>
      <x:c r="F28" s="13" t="str">
        <x:v>clear-gloss-enhancement.webp</x:v>
      </x:c>
      <x:c r="G28" s="13" t="str">
        <x:v>P1</x:v>
      </x:c>
      <x:c r="H28" s="13" t="str">
        <x:v>AI render</x:v>
      </x:c>
      <x:c r="I28" s="13" t="str">
        <x:v>4:3</x:v>
      </x:c>
      <x:c r="J28" s="13" t="str">
        <x:v>1000 x 750</x:v>
      </x:c>
      <x:c r="K28" s="13" t="str">
        <x:v>Reflections on hood</x:v>
      </x:c>
      <x:c r="L28" s="13" t="str">
        <x:v>Square crop</x:v>
      </x:c>
      <x:c r="M28" s="13" t="str">
        <x:v>Bright clean reflection on protected hood; mirror-like but realistic.</x:v>
      </x:c>
      <x:c r="N28" s="13" t="str">
        <x:v>Use for gloss enhancement card.</x:v>
      </x:c>
      <x:c r="O28" s="13" t="str">
        <x:v>Over-edited mirror/reflection distortion.</x:v>
      </x:c>
      <x:c r="P28" s="13" t="str">
        <x:v>Glossy hood reflection after clear paint protection film installation.</x:v>
      </x:c>
      <x:c r="Q28" s="13" t="str">
        <x:v>To produce</x:v>
      </x:c>
      <x:c r="R28" s="13"/>
      <x:c r="S28" s="13"/>
      <x:c r="T28" s="13" t="str">
        <x:v>Clear PPF</x:v>
      </x:c>
    </x:row>
    <x:row r="29">
      <x:c r="A29" s="13" t="str">
        <x:v>CLR-009</x:v>
      </x:c>
      <x:c r="B29" s="13" t="str">
        <x:v>Clear PPF</x:v>
      </x:c>
      <x:c r="C29" s="13" t="str">
        <x:v>Why Clear PPF</x:v>
      </x:c>
      <x:c r="D29" s="13" t="str">
        <x:v>Clear PPF</x:v>
      </x:c>
      <x:c r="E29" s="13" t="str">
        <x:v>Stone-chip defense visual</x:v>
      </x:c>
      <x:c r="F29" s="13" t="str">
        <x:v>clear-stone-chip-defense.webp</x:v>
      </x:c>
      <x:c r="G29" s="13" t="str">
        <x:v>P1</x:v>
      </x:c>
      <x:c r="H29" s="13" t="str">
        <x:v>AI render</x:v>
      </x:c>
      <x:c r="I29" s="13" t="str">
        <x:v>4:3</x:v>
      </x:c>
      <x:c r="J29" s="13" t="str">
        <x:v>1000 x 750</x:v>
      </x:c>
      <x:c r="K29" s="13" t="str">
        <x:v>Road/impact abstract</x:v>
      </x:c>
      <x:c r="L29" s="13" t="str">
        <x:v>Square crop</x:v>
      </x:c>
      <x:c r="M29" s="13" t="str">
        <x:v>Elegant abstract visual of road debris protection without aggressive damage.</x:v>
      </x:c>
      <x:c r="N29" s="13" t="str">
        <x:v>Could use icon-based visual instead.</x:v>
      </x:c>
      <x:c r="O29" s="13" t="str">
        <x:v>Ugly damaged paint close-up; too negative.</x:v>
      </x:c>
      <x:c r="P29" s="13" t="str">
        <x:v>Subtle visual representing stone chip protection for paint protection film.</x:v>
      </x:c>
      <x:c r="Q29" s="13" t="str">
        <x:v>To produce</x:v>
      </x:c>
      <x:c r="R29" s="13"/>
      <x:c r="S29" s="13"/>
      <x:c r="T29" s="13" t="str">
        <x:v>Clear PPF</x:v>
      </x:c>
    </x:row>
    <x:row r="30">
      <x:c r="A30" s="13" t="str">
        <x:v>CLR-010</x:v>
      </x:c>
      <x:c r="B30" s="13" t="str">
        <x:v>Clear PPF</x:v>
      </x:c>
      <x:c r="C30" s="13" t="str">
        <x:v>Why Clear PPF</x:v>
      </x:c>
      <x:c r="D30" s="13" t="str">
        <x:v>Clear PPF</x:v>
      </x:c>
      <x:c r="E30" s="13" t="str">
        <x:v>Easy maintenance water bead macro</x:v>
      </x:c>
      <x:c r="F30" s="13" t="str">
        <x:v>clear-easy-maintenance-water.webp</x:v>
      </x:c>
      <x:c r="G30" s="13" t="str">
        <x:v>P1</x:v>
      </x:c>
      <x:c r="H30" s="13" t="str">
        <x:v>Real photo</x:v>
      </x:c>
      <x:c r="I30" s="13" t="str">
        <x:v>4:3</x:v>
      </x:c>
      <x:c r="J30" s="13" t="str">
        <x:v>1000 x 750</x:v>
      </x:c>
      <x:c r="K30" s="13" t="str">
        <x:v>Water beads close macro</x:v>
      </x:c>
      <x:c r="L30" s="13" t="str">
        <x:v>Square crop</x:v>
      </x:c>
      <x:c r="M30" s="13" t="str">
        <x:v>Macro of water beads sliding off glossy surface.</x:v>
      </x:c>
      <x:c r="N30" s="13" t="str">
        <x:v>Real macro preferred.</x:v>
      </x:c>
      <x:c r="O30" s="13" t="str">
        <x:v>Dirty water, fingerprints.</x:v>
      </x:c>
      <x:c r="P30" s="13" t="str">
        <x:v>Water beads on clear PPF showing easy maintenance.</x:v>
      </x:c>
      <x:c r="Q30" s="13" t="str">
        <x:v>To produce</x:v>
      </x:c>
      <x:c r="R30" s="13"/>
      <x:c r="S30" s="13"/>
      <x:c r="T30" s="13" t="str">
        <x:v>Clear PPF</x:v>
      </x:c>
    </x:row>
    <x:row r="31">
      <x:c r="A31" s="13" t="str">
        <x:v>CLR-011</x:v>
      </x:c>
      <x:c r="B31" s="13" t="str">
        <x:v>Clear PPF</x:v>
      </x:c>
      <x:c r="C31" s="13" t="str">
        <x:v>Why Clear PPF</x:v>
      </x:c>
      <x:c r="D31" s="13" t="str">
        <x:v>Global</x:v>
      </x:c>
      <x:c r="E31" s="13" t="str">
        <x:v>Long-term confidence badge</x:v>
      </x:c>
      <x:c r="F31" s="13" t="str">
        <x:v>clear-long-term-confidence-icon.svg</x:v>
      </x:c>
      <x:c r="G31" s="13" t="str">
        <x:v>P2</x:v>
      </x:c>
      <x:c r="H31" s="13" t="str">
        <x:v>Vector icon</x:v>
      </x:c>
      <x:c r="I31" s="13" t="str">
        <x:v>1:1</x:v>
      </x:c>
      <x:c r="J31" s="13" t="str">
        <x:v>SVG</x:v>
      </x:c>
      <x:c r="K31" s="13" t="str">
        <x:v>N/A</x:v>
      </x:c>
      <x:c r="L31" s="13" t="str">
        <x:v>N/A</x:v>
      </x:c>
      <x:c r="M31" s="13" t="str">
        <x:v>Minimal warranty/confidence icon; line style.</x:v>
      </x:c>
      <x:c r="N31" s="13" t="str">
        <x:v>Use with warranty copy.</x:v>
      </x:c>
      <x:c r="O31" s="13" t="str">
        <x:v>Specific years if not confirmed.</x:v>
      </x:c>
      <x:c r="P31" s="13" t="str">
        <x:v>Line icon representing long-term confidence and warranty support.</x:v>
      </x:c>
      <x:c r="Q31" s="13" t="str">
        <x:v>To produce</x:v>
      </x:c>
      <x:c r="R31" s="13"/>
      <x:c r="S31" s="13"/>
      <x:c r="T31" s="13" t="str">
        <x:v>Clear PPF</x:v>
      </x:c>
    </x:row>
    <x:row r="32">
      <x:c r="A32" s="13" t="str">
        <x:v>CLR-012</x:v>
      </x:c>
      <x:c r="B32" s="13" t="str">
        <x:v>Clear PPF</x:v>
      </x:c>
      <x:c r="C32" s="13" t="str">
        <x:v>Installation Gallery</x:v>
      </x:c>
      <x:c r="D32" s="13" t="str">
        <x:v>Clear PPF</x:v>
      </x:c>
      <x:c r="E32" s="13" t="str">
        <x:v>Front bumper protection</x:v>
      </x:c>
      <x:c r="F32" s="13" t="str">
        <x:v>clear-front-bumper-protection.webp</x:v>
      </x:c>
      <x:c r="G32" s="13" t="str">
        <x:v>P1</x:v>
      </x:c>
      <x:c r="H32" s="13" t="str">
        <x:v>Real photo</x:v>
      </x:c>
      <x:c r="I32" s="13" t="str">
        <x:v>16:9</x:v>
      </x:c>
      <x:c r="J32" s="13" t="str">
        <x:v>1200 x 700</x:v>
      </x:c>
      <x:c r="K32" s="13" t="str">
        <x:v>Front bumper close-up</x:v>
      </x:c>
      <x:c r="L32" s="13" t="str">
        <x:v>4:3 crop</x:v>
      </x:c>
      <x:c r="M32" s="13" t="str">
        <x:v>Clean front bumper with PPF coverage; studio or professional install shot.</x:v>
      </x:c>
      <x:c r="N32" s="13" t="str">
        <x:v>Real installed work preferred.</x:v>
      </x:c>
      <x:c r="O32" s="13" t="str">
        <x:v>Visible unapproved car badges; messy background.</x:v>
      </x:c>
      <x:c r="P32" s="13" t="str">
        <x:v>Front bumper protected with clear paint protection film.</x:v>
      </x:c>
      <x:c r="Q32" s="13" t="str">
        <x:v>To produce</x:v>
      </x:c>
      <x:c r="R32" s="13"/>
      <x:c r="S32" s="13"/>
      <x:c r="T32" s="13" t="str">
        <x:v>Clear PPF</x:v>
      </x:c>
    </x:row>
    <x:row r="33">
      <x:c r="A33" s="13" t="str">
        <x:v>CLR-013</x:v>
      </x:c>
      <x:c r="B33" s="13" t="str">
        <x:v>Clear PPF</x:v>
      </x:c>
      <x:c r="C33" s="13" t="str">
        <x:v>Installation Gallery</x:v>
      </x:c>
      <x:c r="D33" s="13" t="str">
        <x:v>Clear PPF</x:v>
      </x:c>
      <x:c r="E33" s="13" t="str">
        <x:v>Hood and edge coverage</x:v>
      </x:c>
      <x:c r="F33" s="13" t="str">
        <x:v>clear-hood-edge-coverage.webp</x:v>
      </x:c>
      <x:c r="G33" s="13" t="str">
        <x:v>P1</x:v>
      </x:c>
      <x:c r="H33" s="13" t="str">
        <x:v>Real photo</x:v>
      </x:c>
      <x:c r="I33" s="13" t="str">
        <x:v>16:9</x:v>
      </x:c>
      <x:c r="J33" s="13" t="str">
        <x:v>1200 x 700</x:v>
      </x:c>
      <x:c r="K33" s="13" t="str">
        <x:v>Hood edge detail</x:v>
      </x:c>
      <x:c r="L33" s="13" t="str">
        <x:v>4:3 crop</x:v>
      </x:c>
      <x:c r="M33" s="13" t="str">
        <x:v>Close-up of hood line and edge coverage, clean reflection.</x:v>
      </x:c>
      <x:c r="N33" s="13" t="str">
        <x:v>Real install detail preferred.</x:v>
      </x:c>
      <x:c r="O33" s="13" t="str">
        <x:v>Rough trimming, bubbles, dust.</x:v>
      </x:c>
      <x:c r="P33" s="13" t="str">
        <x:v>Hood edge coverage detail with clear PPF installed.</x:v>
      </x:c>
      <x:c r="Q33" s="13" t="str">
        <x:v>To produce</x:v>
      </x:c>
      <x:c r="R33" s="13"/>
      <x:c r="S33" s="13"/>
      <x:c r="T33" s="13" t="str">
        <x:v>Clear PPF</x:v>
      </x:c>
    </x:row>
    <x:row r="34">
      <x:c r="A34" s="13" t="str">
        <x:v>CLR-014</x:v>
      </x:c>
      <x:c r="B34" s="13" t="str">
        <x:v>Clear PPF</x:v>
      </x:c>
      <x:c r="C34" s="13" t="str">
        <x:v>Installation Gallery</x:v>
      </x:c>
      <x:c r="D34" s="13" t="str">
        <x:v>Clear PPF</x:v>
      </x:c>
      <x:c r="E34" s="13" t="str">
        <x:v>Full body installation</x:v>
      </x:c>
      <x:c r="F34" s="13" t="str">
        <x:v>clear-full-body-installation.webp</x:v>
      </x:c>
      <x:c r="G34" s="13" t="str">
        <x:v>P1</x:v>
      </x:c>
      <x:c r="H34" s="13" t="str">
        <x:v>Real photo</x:v>
      </x:c>
      <x:c r="I34" s="13" t="str">
        <x:v>16:9</x:v>
      </x:c>
      <x:c r="J34" s="13" t="str">
        <x:v>1200 x 700</x:v>
      </x:c>
      <x:c r="K34" s="13" t="str">
        <x:v>Full car in clean studio</x:v>
      </x:c>
      <x:c r="L34" s="13" t="str">
        <x:v>4:3 crop</x:v>
      </x:c>
      <x:c r="M34" s="13" t="str">
        <x:v>Full body silver car with consistent reflections after install.</x:v>
      </x:c>
      <x:c r="N34" s="13" t="str">
        <x:v>Use finished car photo.</x:v>
      </x:c>
      <x:c r="O34" s="13" t="str">
        <x:v>Busy street background.</x:v>
      </x:c>
      <x:c r="P34" s="13" t="str">
        <x:v>Full body clear PPF installation on a premium car.</x:v>
      </x:c>
      <x:c r="Q34" s="13" t="str">
        <x:v>To produce</x:v>
      </x:c>
      <x:c r="R34" s="13"/>
      <x:c r="S34" s="13"/>
      <x:c r="T34" s="13" t="str">
        <x:v>Clear PPF</x:v>
      </x:c>
    </x:row>
    <x:row r="35">
      <x:c r="A35" s="13" t="str">
        <x:v>CLR-015</x:v>
      </x:c>
      <x:c r="B35" s="13" t="str">
        <x:v>Clear PPF</x:v>
      </x:c>
      <x:c r="C35" s="13" t="str">
        <x:v>Installation Gallery</x:v>
      </x:c>
      <x:c r="D35" s="13" t="str">
        <x:v>Clear PPF</x:v>
      </x:c>
      <x:c r="E35" s="13" t="str">
        <x:v>Mirror finish close-up</x:v>
      </x:c>
      <x:c r="F35" s="13" t="str">
        <x:v>clear-mirror-finish.webp</x:v>
      </x:c>
      <x:c r="G35" s="13" t="str">
        <x:v>P1</x:v>
      </x:c>
      <x:c r="H35" s="13" t="str">
        <x:v>Real photo</x:v>
      </x:c>
      <x:c r="I35" s="13" t="str">
        <x:v>16:9</x:v>
      </x:c>
      <x:c r="J35" s="13" t="str">
        <x:v>1200 x 700</x:v>
      </x:c>
      <x:c r="K35" s="13" t="str">
        <x:v>Mirror and door crop</x:v>
      </x:c>
      <x:c r="L35" s="13" t="str">
        <x:v>4:3 crop</x:v>
      </x:c>
      <x:c r="M35" s="13" t="str">
        <x:v>Door/mirror detail showing seamless finish and clarity.</x:v>
      </x:c>
      <x:c r="N35" s="13" t="str">
        <x:v>Real close-up preferred.</x:v>
      </x:c>
      <x:c r="O35" s="13" t="str">
        <x:v>Visible scratches, swirl marks.</x:v>
      </x:c>
      <x:c r="P35" s="13" t="str">
        <x:v>Seamless mirror and door finish with clear PPF installed.</x:v>
      </x:c>
      <x:c r="Q35" s="13" t="str">
        <x:v>To produce</x:v>
      </x:c>
      <x:c r="R35" s="13"/>
      <x:c r="S35" s="13"/>
      <x:c r="T35" s="13" t="str">
        <x:v>Clear PPF</x:v>
      </x:c>
    </x:row>
    <x:row r="36">
      <x:c r="A36" s="13" t="str">
        <x:v>CLR-016</x:v>
      </x:c>
      <x:c r="B36" s="13" t="str">
        <x:v>Clear PPF</x:v>
      </x:c>
      <x:c r="C36" s="13" t="str">
        <x:v>CTA</x:v>
      </x:c>
      <x:c r="D36" s="13" t="str">
        <x:v>Global</x:v>
      </x:c>
      <x:c r="E36" s="13" t="str">
        <x:v>Consultation CTA background</x:v>
      </x:c>
      <x:c r="F36" s="13" t="str">
        <x:v>clear-consultation-cta-bg.webp</x:v>
      </x:c>
      <x:c r="G36" s="13" t="str">
        <x:v>P2</x:v>
      </x:c>
      <x:c r="H36" s="13" t="str">
        <x:v>AI render</x:v>
      </x:c>
      <x:c r="I36" s="13" t="str">
        <x:v>16:9</x:v>
      </x:c>
      <x:c r="J36" s="13" t="str">
        <x:v>1200 x 500</x:v>
      </x:c>
      <x:c r="K36" s="13" t="str">
        <x:v>Light abstract surface</x:v>
      </x:c>
      <x:c r="L36" s="13" t="str">
        <x:v>4:5 simple crop</x:v>
      </x:c>
      <x:c r="M36" s="13" t="str">
        <x:v>Subtle light gray surface/film background for help choosing CTA.</x:v>
      </x:c>
      <x:c r="N36" s="13" t="str">
        <x:v>Use as low contrast only.</x:v>
      </x:c>
      <x:c r="O36" s="13" t="str">
        <x:v>Too busy behind buttons.</x:v>
      </x:c>
      <x:c r="P36" s="13" t="str">
        <x:v>Subtle background for consultation call to action.</x:v>
      </x:c>
      <x:c r="Q36" s="13" t="str">
        <x:v>To produce</x:v>
      </x:c>
      <x:c r="R36" s="13"/>
      <x:c r="S36" s="13"/>
      <x:c r="T36" s="13" t="str">
        <x:v>Clear PPF</x:v>
      </x:c>
    </x:row>
    <x:row r="37">
      <x:c r="A37" s="13" t="str">
        <x:v>MC-001</x:v>
      </x:c>
      <x:c r="B37" s="13" t="str">
        <x:v>Matte &amp; Color</x:v>
      </x:c>
      <x:c r="C37" s="13" t="str">
        <x:v>Hero</x:v>
      </x:c>
      <x:c r="D37" s="13" t="str">
        <x:v>Matte PPF / Color PPF</x:v>
      </x:c>
      <x:c r="E37" s="13" t="str">
        <x:v>Matte and Color hero split</x:v>
      </x:c>
      <x:c r="F37" s="13" t="str">
        <x:v>matte-color-hero-split.webp</x:v>
      </x:c>
      <x:c r="G37" s="13" t="str">
        <x:v>P0</x:v>
      </x:c>
      <x:c r="H37" s="13" t="str">
        <x:v>AI render (Launch v1)</x:v>
      </x:c>
      <x:c r="I37" s="13" t="str">
        <x:v>16:9</x:v>
      </x:c>
      <x:c r="J37" s="13" t="str">
        <x:v>2880 x 1500</x:v>
      </x:c>
      <x:c r="K37" s="13" t="str">
        <x:v>Matte car left, color car right</x:v>
      </x:c>
      <x:c r="L37" s="13" t="str">
        <x:v>4:5 mobile split/alternate</x:v>
      </x:c>
      <x:c r="M37" s="13" t="str">
        <x:v>Matte gray vehicle and vivid color vehicle split composition; keep layout bright, white, premium.</x:v>
      </x:c>
      <x:c r="N37" s="13" t="str">
        <x:v>Color can be expressive but not cyberpunk except small inspiration crop. Launch v1 direction: AI render approved by owner; generate in Apple-style white/silver premium theme with restrained red accents.</x:v>
      </x:c>
      <x:c r="O37" s="13" t="str">
        <x:v>Full dark/neon page; visual clutter. QA for AI artifacts, distorted logos, fake badges, wrong text, wrong proportions, inconsistent reflections.</x:v>
      </x:c>
      <x:c r="P37" s="13" t="str">
        <x:v>Hero image showing matte and color PPF styles in a premium split composition.</x:v>
      </x:c>
      <x:c r="Q37" s="13" t="str">
        <x:v>AI render queued</x:v>
      </x:c>
      <x:c r="R37" s="13" t="str">
        <x:v>Designer / AI Render</x:v>
      </x:c>
      <x:c r="S37" s="13"/>
      <x:c r="T37" s="13" t="str">
        <x:v>Matte &amp; Color</x:v>
      </x:c>
    </x:row>
    <x:row r="38">
      <x:c r="A38" s="13" t="str">
        <x:v>MAT-001</x:v>
      </x:c>
      <x:c r="B38" s="13" t="str">
        <x:v>Matte &amp; Color</x:v>
      </x:c>
      <x:c r="C38" s="13" t="str">
        <x:v>Matte PPF products</x:v>
      </x:c>
      <x:c r="D38" s="13" t="str">
        <x:v>Matte PPF</x:v>
      </x:c>
      <x:c r="E38" s="13" t="str">
        <x:v>Matte Prime car image</x:v>
      </x:c>
      <x:c r="F38" s="13" t="str">
        <x:v>matte-prime-car.webp</x:v>
      </x:c>
      <x:c r="G38" s="13" t="str">
        <x:v>P0</x:v>
      </x:c>
      <x:c r="H38" s="13" t="str">
        <x:v>AI render (Launch v1)</x:v>
      </x:c>
      <x:c r="I38" s="13" t="str">
        <x:v>16:9</x:v>
      </x:c>
      <x:c r="J38" s="13" t="str">
        <x:v>1200 x 800</x:v>
      </x:c>
      <x:c r="K38" s="13" t="str">
        <x:v>Matte gray car 3/4 view</x:v>
      </x:c>
      <x:c r="L38" s="13" t="str">
        <x:v>4:3 crop</x:v>
      </x:c>
      <x:c r="M38" s="13" t="str">
        <x:v>Smooth satin gray car, premium but approachable.</x:v>
      </x:c>
      <x:c r="N38" s="13" t="str">
        <x:v>Mockup aligned to Clear Prime tier. Launch v1 direction: AI render approved by owner; generate in Apple-style white/silver premium theme with restrained red accents.</x:v>
      </x:c>
      <x:c r="O38" s="13" t="str">
        <x:v>Too glossy, blacked out. QA for AI artifacts, distorted logos, fake badges, wrong text, wrong proportions, inconsistent reflections.</x:v>
      </x:c>
      <x:c r="P38" s="13" t="str">
        <x:v>Matte Prime PPF on a satin gray premium car.</x:v>
      </x:c>
      <x:c r="Q38" s="13" t="str">
        <x:v>AI render queued</x:v>
      </x:c>
      <x:c r="R38" s="13" t="str">
        <x:v>Designer / AI Render</x:v>
      </x:c>
      <x:c r="S38" s="13"/>
      <x:c r="T38" s="13" t="str">
        <x:v>Matte &amp; Color</x:v>
      </x:c>
    </x:row>
    <x:row r="39">
      <x:c r="A39" s="13" t="str">
        <x:v>MAT-002</x:v>
      </x:c>
      <x:c r="B39" s="13" t="str">
        <x:v>Matte &amp; Color</x:v>
      </x:c>
      <x:c r="C39" s="13" t="str">
        <x:v>Matte PPF products</x:v>
      </x:c>
      <x:c r="D39" s="13" t="str">
        <x:v>Matte PPF</x:v>
      </x:c>
      <x:c r="E39" s="13" t="str">
        <x:v>Matte Pro car image</x:v>
      </x:c>
      <x:c r="F39" s="13" t="str">
        <x:v>matte-pro-car.webp</x:v>
      </x:c>
      <x:c r="G39" s="13" t="str">
        <x:v>P0</x:v>
      </x:c>
      <x:c r="H39" s="13" t="str">
        <x:v>AI render (Launch v1)</x:v>
      </x:c>
      <x:c r="I39" s="13" t="str">
        <x:v>16:9</x:v>
      </x:c>
      <x:c r="J39" s="13" t="str">
        <x:v>1200 x 800</x:v>
      </x:c>
      <x:c r="K39" s="13" t="str">
        <x:v>Matte performance car</x:v>
      </x:c>
      <x:c r="L39" s="13" t="str">
        <x:v>4:3 crop</x:v>
      </x:c>
      <x:c r="M39" s="13" t="str">
        <x:v>Darker satin gray, stronger performance stance, subtle red caliper detail.</x:v>
      </x:c>
      <x:c r="N39" s="13" t="str">
        <x:v>Mockup aligned to Clear Pro tier. Launch v1 direction: AI render approved by owner; generate in Apple-style white/silver premium theme with restrained red accents.</x:v>
      </x:c>
      <x:c r="O39" s="13" t="str">
        <x:v>No Pro image missing after confirmed 3 tiers. QA for AI artifacts, distorted logos, fake badges, wrong text, wrong proportions, inconsistent reflections.</x:v>
      </x:c>
      <x:c r="P39" s="13" t="str">
        <x:v>Matte Pro PPF on a performance car with satin finish.</x:v>
      </x:c>
      <x:c r="Q39" s="13" t="str">
        <x:v>AI render queued</x:v>
      </x:c>
      <x:c r="R39" s="13" t="str">
        <x:v>Designer / AI Render</x:v>
      </x:c>
      <x:c r="S39" s="13"/>
      <x:c r="T39" s="13" t="str">
        <x:v>Matte &amp; Color</x:v>
      </x:c>
    </x:row>
    <x:row r="40">
      <x:c r="A40" s="13" t="str">
        <x:v>MAT-003</x:v>
      </x:c>
      <x:c r="B40" s="13" t="str">
        <x:v>Matte &amp; Color</x:v>
      </x:c>
      <x:c r="C40" s="13" t="str">
        <x:v>Matte PPF products</x:v>
      </x:c>
      <x:c r="D40" s="13" t="str">
        <x:v>Matte PPF</x:v>
      </x:c>
      <x:c r="E40" s="13" t="str">
        <x:v>Matte Ultimate car image</x:v>
      </x:c>
      <x:c r="F40" s="13" t="str">
        <x:v>matte-ultimate-car.webp</x:v>
      </x:c>
      <x:c r="G40" s="13" t="str">
        <x:v>P0</x:v>
      </x:c>
      <x:c r="H40" s="13" t="str">
        <x:v>AI render (Launch v1)</x:v>
      </x:c>
      <x:c r="I40" s="13" t="str">
        <x:v>16:9</x:v>
      </x:c>
      <x:c r="J40" s="13" t="str">
        <x:v>1200 x 800</x:v>
      </x:c>
      <x:c r="K40" s="13" t="str">
        <x:v>Premium matte luxury car</x:v>
      </x:c>
      <x:c r="L40" s="13" t="str">
        <x:v>4:3 crop</x:v>
      </x:c>
      <x:c r="M40" s="13" t="str">
        <x:v>Flagship matte/satin finish, extremely smooth surface, high-end look.</x:v>
      </x:c>
      <x:c r="N40" s="13" t="str">
        <x:v>Mockup aligned to Clear Ultimate tier. Launch v1 direction: AI render approved by owner; generate in Apple-style white/silver premium theme with restrained red accents.</x:v>
      </x:c>
      <x:c r="O40" s="13" t="str">
        <x:v>Flat dull look that feels cheap. QA for AI artifacts, distorted logos, fake badges, wrong text, wrong proportions, inconsistent reflections.</x:v>
      </x:c>
      <x:c r="P40" s="13" t="str">
        <x:v>Matte Ultimate PPF on a luxury car with smooth satin finish.</x:v>
      </x:c>
      <x:c r="Q40" s="13" t="str">
        <x:v>AI render queued</x:v>
      </x:c>
      <x:c r="R40" s="13" t="str">
        <x:v>Designer / AI Render</x:v>
      </x:c>
      <x:c r="S40" s="13"/>
      <x:c r="T40" s="13" t="str">
        <x:v>Matte &amp; Color</x:v>
      </x:c>
    </x:row>
    <x:row r="41">
      <x:c r="A41" s="13" t="str">
        <x:v>MAT-004</x:v>
      </x:c>
      <x:c r="B41" s="13" t="str">
        <x:v>Matte &amp; Color</x:v>
      </x:c>
      <x:c r="C41" s="13" t="str">
        <x:v>Matte PPF products</x:v>
      </x:c>
      <x:c r="D41" s="13" t="str">
        <x:v>Matte PPF</x:v>
      </x:c>
      <x:c r="E41" s="13" t="str">
        <x:v>Matte film roll texture</x:v>
      </x:c>
      <x:c r="F41" s="13" t="str">
        <x:v>matte-film-roll-texture.webp</x:v>
      </x:c>
      <x:c r="G41" s="13" t="str">
        <x:v>P1</x:v>
      </x:c>
      <x:c r="H41" s="13" t="str">
        <x:v>3D render</x:v>
      </x:c>
      <x:c r="I41" s="13" t="str">
        <x:v>4:3</x:v>
      </x:c>
      <x:c r="J41" s="13" t="str">
        <x:v>1000 x 750</x:v>
      </x:c>
      <x:c r="K41" s="13" t="str">
        <x:v>Roll texture close-up</x:v>
      </x:c>
      <x:c r="L41" s="13" t="str">
        <x:v>Square crop</x:v>
      </x:c>
      <x:c r="M41" s="13" t="str">
        <x:v>Black/gray matte film roll with soft diffuse highlight.</x:v>
      </x:c>
      <x:c r="N41" s="13" t="str">
        <x:v>Use product card thumbnails.</x:v>
      </x:c>
      <x:c r="O41" s="13" t="str">
        <x:v>Looks like vinyl roll from generic stock.</x:v>
      </x:c>
      <x:c r="P41" s="13" t="str">
        <x:v>Close-up of matte PPF roll texture.</x:v>
      </x:c>
      <x:c r="Q41" s="13" t="str">
        <x:v>To produce</x:v>
      </x:c>
      <x:c r="R41" s="13"/>
      <x:c r="S41" s="13"/>
      <x:c r="T41" s="13" t="str">
        <x:v>Matte &amp; Color</x:v>
      </x:c>
    </x:row>
    <x:row r="42">
      <x:c r="A42" s="13" t="str">
        <x:v>MAT-005</x:v>
      </x:c>
      <x:c r="B42" s="13" t="str">
        <x:v>Matte &amp; Color</x:v>
      </x:c>
      <x:c r="C42" s="13" t="str">
        <x:v>Explore Finishes</x:v>
      </x:c>
      <x:c r="D42" s="13" t="str">
        <x:v>Matte PPF</x:v>
      </x:c>
      <x:c r="E42" s="13" t="str">
        <x:v>Matte finish close-up</x:v>
      </x:c>
      <x:c r="F42" s="13" t="str">
        <x:v>matte-finish-close-up.webp</x:v>
      </x:c>
      <x:c r="G42" s="13" t="str">
        <x:v>P1</x:v>
      </x:c>
      <x:c r="H42" s="13" t="str">
        <x:v>Real photo</x:v>
      </x:c>
      <x:c r="I42" s="13" t="str">
        <x:v>4:3</x:v>
      </x:c>
      <x:c r="J42" s="13" t="str">
        <x:v>1000 x 750</x:v>
      </x:c>
      <x:c r="K42" s="13" t="str">
        <x:v>Panel and soft reflection</x:v>
      </x:c>
      <x:c r="L42" s="13" t="str">
        <x:v>Square crop</x:v>
      </x:c>
      <x:c r="M42" s="13" t="str">
        <x:v>Macro of satin finish with soft light falloff.</x:v>
      </x:c>
      <x:c r="N42" s="13" t="str">
        <x:v>Real photo preferred.</x:v>
      </x:c>
      <x:c r="O42" s="13" t="str">
        <x:v>Dust, uneven surface.</x:v>
      </x:c>
      <x:c r="P42" s="13" t="str">
        <x:v>Close-up of a satin matte automotive film finish.</x:v>
      </x:c>
      <x:c r="Q42" s="13" t="str">
        <x:v>To produce</x:v>
      </x:c>
      <x:c r="R42" s="13"/>
      <x:c r="S42" s="13"/>
      <x:c r="T42" s="13" t="str">
        <x:v>Matte &amp; Color</x:v>
      </x:c>
    </x:row>
    <x:row r="43">
      <x:c r="A43" s="13" t="str">
        <x:v>COL-001</x:v>
      </x:c>
      <x:c r="B43" s="13" t="str">
        <x:v>Matte &amp; Color</x:v>
      </x:c>
      <x:c r="C43" s="13" t="str">
        <x:v>Color PPF products</x:v>
      </x:c>
      <x:c r="D43" s="13" t="str">
        <x:v>Color PPF</x:v>
      </x:c>
      <x:c r="E43" s="13" t="str">
        <x:v>Color Begin card</x:v>
      </x:c>
      <x:c r="F43" s="13" t="str">
        <x:v>color-begin-card-red.webp</x:v>
      </x:c>
      <x:c r="G43" s="13" t="str">
        <x:v>P0</x:v>
      </x:c>
      <x:c r="H43" s="13" t="str">
        <x:v>AI render (Launch v1)</x:v>
      </x:c>
      <x:c r="I43" s="13" t="str">
        <x:v>16:9</x:v>
      </x:c>
      <x:c r="J43" s="13" t="str">
        <x:v>1200 x 800</x:v>
      </x:c>
      <x:c r="K43" s="13" t="str">
        <x:v>Red car/film roll card</x:v>
      </x:c>
      <x:c r="L43" s="13" t="str">
        <x:v>4:3 crop</x:v>
      </x:c>
      <x:c r="M43" s="13" t="str">
        <x:v>Bold clean red PPF, entry color card, bright but premium.</x:v>
      </x:c>
      <x:c r="N43" s="13" t="str">
        <x:v>Position as Color Begin. Launch v1 direction: AI render approved by owner; generate in Apple-style white/silver premium theme with restrained red accents.</x:v>
      </x:c>
      <x:c r="O43" s="13" t="str">
        <x:v>Use old Gloss/Satin/Shift as main tier. QA for AI artifacts, distorted logos, fake badges, wrong text, wrong proportions, inconsistent reflections.</x:v>
      </x:c>
      <x:c r="P43" s="13" t="str">
        <x:v>Color Begin PPF shown on a red premium car surface.</x:v>
      </x:c>
      <x:c r="Q43" s="13" t="str">
        <x:v>AI render queued</x:v>
      </x:c>
      <x:c r="R43" s="13" t="str">
        <x:v>Designer / AI Render</x:v>
      </x:c>
      <x:c r="S43" s="13"/>
      <x:c r="T43" s="13" t="str">
        <x:v>Matte &amp; Color</x:v>
      </x:c>
    </x:row>
    <x:row r="44">
      <x:c r="A44" s="13" t="str">
        <x:v>COL-002</x:v>
      </x:c>
      <x:c r="B44" s="13" t="str">
        <x:v>Matte &amp; Color</x:v>
      </x:c>
      <x:c r="C44" s="13" t="str">
        <x:v>Color PPF products</x:v>
      </x:c>
      <x:c r="D44" s="13" t="str">
        <x:v>Color PPF</x:v>
      </x:c>
      <x:c r="E44" s="13" t="str">
        <x:v>Color Prime card</x:v>
      </x:c>
      <x:c r="F44" s="13" t="str">
        <x:v>color-prime-card-blue.webp</x:v>
      </x:c>
      <x:c r="G44" s="13" t="str">
        <x:v>P0</x:v>
      </x:c>
      <x:c r="H44" s="13" t="str">
        <x:v>AI render (Launch v1)</x:v>
      </x:c>
      <x:c r="I44" s="13" t="str">
        <x:v>16:9</x:v>
      </x:c>
      <x:c r="J44" s="13" t="str">
        <x:v>1200 x 800</x:v>
      </x:c>
      <x:c r="K44" s="13" t="str">
        <x:v>Blue car/film roll card</x:v>
      </x:c>
      <x:c r="L44" s="13" t="str">
        <x:v>4:3 crop</x:v>
      </x:c>
      <x:c r="M44" s="13" t="str">
        <x:v>Refined blue/silver premium color PPF with clear reflections.</x:v>
      </x:c>
      <x:c r="N44" s="13" t="str">
        <x:v>Position as Color Prime. Launch v1 direction: AI render approved by owner; generate in Apple-style white/silver premium theme with restrained red accents.</x:v>
      </x:c>
      <x:c r="O44" s="13" t="str">
        <x:v>Cheap saturated blue wrap. QA for AI artifacts, distorted logos, fake badges, wrong text, wrong proportions, inconsistent reflections.</x:v>
      </x:c>
      <x:c r="P44" s="13" t="str">
        <x:v>Color Prime PPF shown on a refined blue car surface.</x:v>
      </x:c>
      <x:c r="Q44" s="13" t="str">
        <x:v>AI render queued</x:v>
      </x:c>
      <x:c r="R44" s="13" t="str">
        <x:v>Designer / AI Render</x:v>
      </x:c>
      <x:c r="S44" s="13"/>
      <x:c r="T44" s="13" t="str">
        <x:v>Matte &amp; Color</x:v>
      </x:c>
    </x:row>
    <x:row r="45">
      <x:c r="A45" s="13" t="str">
        <x:v>COL-003</x:v>
      </x:c>
      <x:c r="B45" s="13" t="str">
        <x:v>Matte &amp; Color</x:v>
      </x:c>
      <x:c r="C45" s="13" t="str">
        <x:v>Color PPF products</x:v>
      </x:c>
      <x:c r="D45" s="13" t="str">
        <x:v>Color PPF</x:v>
      </x:c>
      <x:c r="E45" s="13" t="str">
        <x:v>Color Pro card</x:v>
      </x:c>
      <x:c r="F45" s="13" t="str">
        <x:v>color-pro-card-purple.webp</x:v>
      </x:c>
      <x:c r="G45" s="13" t="str">
        <x:v>P0</x:v>
      </x:c>
      <x:c r="H45" s="13" t="str">
        <x:v>AI render (Launch v1)</x:v>
      </x:c>
      <x:c r="I45" s="13" t="str">
        <x:v>16:9</x:v>
      </x:c>
      <x:c r="J45" s="13" t="str">
        <x:v>1200 x 800</x:v>
      </x:c>
      <x:c r="K45" s="13" t="str">
        <x:v>Purple performance car</x:v>
      </x:c>
      <x:c r="L45" s="13" t="str">
        <x:v>4:3 crop</x:v>
      </x:c>
      <x:c r="M45" s="13" t="str">
        <x:v>Distinct purple/shift tone with performance vibe; controlled neon only inside card.</x:v>
      </x:c>
      <x:c r="N45" s="13" t="str">
        <x:v>Position as Color Pro. Launch v1 direction: AI render approved by owner; generate in Apple-style white/silver premium theme with restrained red accents.</x:v>
      </x:c>
      <x:c r="O45" s="13" t="str">
        <x:v>Excessive cyberpunk background. QA for AI artifacts, distorted logos, fake badges, wrong text, wrong proportions, inconsistent reflections.</x:v>
      </x:c>
      <x:c r="P45" s="13" t="str">
        <x:v>Color Pro PPF shown on a purple performance car surface.</x:v>
      </x:c>
      <x:c r="Q45" s="13" t="str">
        <x:v>AI render queued</x:v>
      </x:c>
      <x:c r="R45" s="13" t="str">
        <x:v>Designer / AI Render</x:v>
      </x:c>
      <x:c r="S45" s="13"/>
      <x:c r="T45" s="13" t="str">
        <x:v>Matte &amp; Color</x:v>
      </x:c>
    </x:row>
    <x:row r="46">
      <x:c r="A46" s="13" t="str">
        <x:v>COL-004</x:v>
      </x:c>
      <x:c r="B46" s="13" t="str">
        <x:v>Matte &amp; Color</x:v>
      </x:c>
      <x:c r="C46" s="13" t="str">
        <x:v>Color PPF products</x:v>
      </x:c>
      <x:c r="D46" s="13" t="str">
        <x:v>Color PPF</x:v>
      </x:c>
      <x:c r="E46" s="13" t="str">
        <x:v>Color Ultimate card</x:v>
      </x:c>
      <x:c r="F46" s="13" t="str">
        <x:v>color-ultimate-card-green.webp</x:v>
      </x:c>
      <x:c r="G46" s="13" t="str">
        <x:v>P0</x:v>
      </x:c>
      <x:c r="H46" s="13" t="str">
        <x:v>AI render (Launch v1)</x:v>
      </x:c>
      <x:c r="I46" s="13" t="str">
        <x:v>16:9</x:v>
      </x:c>
      <x:c r="J46" s="13" t="str">
        <x:v>1200 x 800</x:v>
      </x:c>
      <x:c r="K46" s="13" t="str">
        <x:v>Green luxury car</x:v>
      </x:c>
      <x:c r="L46" s="13" t="str">
        <x:v>4:3 crop</x:v>
      </x:c>
      <x:c r="M46" s="13" t="str">
        <x:v>Deep forest green premium color PPF, rich and luxurious.</x:v>
      </x:c>
      <x:c r="N46" s="13" t="str">
        <x:v>Position as Color Ultimate. Launch v1 direction: AI render approved by owner; generate in Apple-style white/silver premium theme with restrained red accents.</x:v>
      </x:c>
      <x:c r="O46" s="13" t="str">
        <x:v>Looks like military matte unless intended. QA for AI artifacts, distorted logos, fake badges, wrong text, wrong proportions, inconsistent reflections.</x:v>
      </x:c>
      <x:c r="P46" s="13" t="str">
        <x:v>Color Ultimate PPF shown on a deep green luxury car surface.</x:v>
      </x:c>
      <x:c r="Q46" s="13" t="str">
        <x:v>AI render queued</x:v>
      </x:c>
      <x:c r="R46" s="13" t="str">
        <x:v>Designer / AI Render</x:v>
      </x:c>
      <x:c r="S46" s="13"/>
      <x:c r="T46" s="13" t="str">
        <x:v>Matte &amp; Color</x:v>
      </x:c>
    </x:row>
    <x:row r="47">
      <x:c r="A47" s="13" t="str">
        <x:v>COL-005</x:v>
      </x:c>
      <x:c r="B47" s="13" t="str">
        <x:v>Matte &amp; Color</x:v>
      </x:c>
      <x:c r="C47" s="13" t="str">
        <x:v>Color PPF products</x:v>
      </x:c>
      <x:c r="D47" s="13" t="str">
        <x:v>Ultimate Carbon Fiber</x:v>
      </x:c>
      <x:c r="E47" s="13" t="str">
        <x:v>Ultimate Carbon Fiber card</x:v>
      </x:c>
      <x:c r="F47" s="13" t="str">
        <x:v>color-ultimate-carbon-fiber-card.webp</x:v>
      </x:c>
      <x:c r="G47" s="13" t="str">
        <x:v>P0</x:v>
      </x:c>
      <x:c r="H47" s="13" t="str">
        <x:v>AI render (Launch v1)</x:v>
      </x:c>
      <x:c r="I47" s="13" t="str">
        <x:v>16:9</x:v>
      </x:c>
      <x:c r="J47" s="13" t="str">
        <x:v>1200 x 800</x:v>
      </x:c>
      <x:c r="K47" s="13" t="str">
        <x:v>Carbon car/panel + texture crop</x:v>
      </x:c>
      <x:c r="L47" s="13" t="str">
        <x:v>4:3 crop</x:v>
      </x:c>
      <x:c r="M47" s="13" t="str">
        <x:v>Dark carbon fiber texture and performance car; crisp diagonal weave.</x:v>
      </x:c>
      <x:c r="N47" s="13" t="str">
        <x:v>Position as Ultimate Carbon Fiber; no price shown. Launch v1 direction: AI render approved by owner; generate in Apple-style white/silver premium theme with restrained red accents.</x:v>
      </x:c>
      <x:c r="O47" s="13" t="str">
        <x:v>Mentioning price or cost; messy weave. QA for AI artifacts, distorted logos, fake badges, wrong text, wrong proportions, inconsistent reflections.</x:v>
      </x:c>
      <x:c r="P47" s="13" t="str">
        <x:v>Ultimate Carbon Fiber PPF shown as premium carbon fiber texture on a car panel.</x:v>
      </x:c>
      <x:c r="Q47" s="13" t="str">
        <x:v>AI render queued</x:v>
      </x:c>
      <x:c r="R47" s="13" t="str">
        <x:v>Designer / AI Render</x:v>
      </x:c>
      <x:c r="S47" s="13"/>
      <x:c r="T47" s="13" t="str">
        <x:v>Matte &amp; Color</x:v>
      </x:c>
    </x:row>
    <x:row r="48">
      <x:c r="A48" s="13" t="str">
        <x:v>COL-006</x:v>
      </x:c>
      <x:c r="B48" s="13" t="str">
        <x:v>Matte &amp; Color</x:v>
      </x:c>
      <x:c r="C48" s="13" t="str">
        <x:v>Explore Finishes</x:v>
      </x:c>
      <x:c r="D48" s="13" t="str">
        <x:v>Color PPF</x:v>
      </x:c>
      <x:c r="E48" s="13" t="str">
        <x:v>Gloss red swatch</x:v>
      </x:c>
      <x:c r="F48" s="13" t="str">
        <x:v>swatch-gloss-red.webp</x:v>
      </x:c>
      <x:c r="G48" s="13" t="str">
        <x:v>P1</x:v>
      </x:c>
      <x:c r="H48" s="13" t="str">
        <x:v>AI render</x:v>
      </x:c>
      <x:c r="I48" s="13" t="str">
        <x:v>4:3</x:v>
      </x:c>
      <x:c r="J48" s="13" t="str">
        <x:v>800 x 600</x:v>
      </x:c>
      <x:c r="K48" s="13" t="str">
        <x:v>Swatch crop</x:v>
      </x:c>
      <x:c r="L48" s="13" t="str">
        <x:v>Square crop</x:v>
      </x:c>
      <x:c r="M48" s="13" t="str">
        <x:v>Red glossy film swatch with smooth highlight.</x:v>
      </x:c>
      <x:c r="N48" s="13" t="str">
        <x:v>Part of finish swatch library.</x:v>
      </x:c>
      <x:c r="O48" s="13" t="str">
        <x:v>Cheap plastic texture.</x:v>
      </x:c>
      <x:c r="P48" s="13" t="str">
        <x:v>Gloss red color film swatch.</x:v>
      </x:c>
      <x:c r="Q48" s="13" t="str">
        <x:v>To produce</x:v>
      </x:c>
      <x:c r="R48" s="13"/>
      <x:c r="S48" s="13"/>
      <x:c r="T48" s="13" t="str">
        <x:v>Matte &amp; Color</x:v>
      </x:c>
    </x:row>
    <x:row r="49">
      <x:c r="A49" s="13" t="str">
        <x:v>COL-007</x:v>
      </x:c>
      <x:c r="B49" s="13" t="str">
        <x:v>Matte &amp; Color</x:v>
      </x:c>
      <x:c r="C49" s="13" t="str">
        <x:v>Explore Finishes</x:v>
      </x:c>
      <x:c r="D49" s="13" t="str">
        <x:v>Color PPF</x:v>
      </x:c>
      <x:c r="E49" s="13" t="str">
        <x:v>Satin silver swatch</x:v>
      </x:c>
      <x:c r="F49" s="13" t="str">
        <x:v>swatch-satin-silver.webp</x:v>
      </x:c>
      <x:c r="G49" s="13" t="str">
        <x:v>P1</x:v>
      </x:c>
      <x:c r="H49" s="13" t="str">
        <x:v>AI render</x:v>
      </x:c>
      <x:c r="I49" s="13" t="str">
        <x:v>4:3</x:v>
      </x:c>
      <x:c r="J49" s="13" t="str">
        <x:v>800 x 600</x:v>
      </x:c>
      <x:c r="K49" s="13" t="str">
        <x:v>Swatch crop</x:v>
      </x:c>
      <x:c r="L49" s="13" t="str">
        <x:v>Square crop</x:v>
      </x:c>
      <x:c r="M49" s="13" t="str">
        <x:v>Satin silver film swatch with soft reflection.</x:v>
      </x:c>
      <x:c r="N49" s="13" t="str">
        <x:v>Part of finish swatch library.</x:v>
      </x:c>
      <x:c r="O49" s="13" t="str">
        <x:v>Too mirror-like for satin.</x:v>
      </x:c>
      <x:c r="P49" s="13" t="str">
        <x:v>Satin silver color film swatch.</x:v>
      </x:c>
      <x:c r="Q49" s="13" t="str">
        <x:v>To produce</x:v>
      </x:c>
      <x:c r="R49" s="13"/>
      <x:c r="S49" s="13"/>
      <x:c r="T49" s="13" t="str">
        <x:v>Matte &amp; Color</x:v>
      </x:c>
    </x:row>
    <x:row r="50">
      <x:c r="A50" s="13" t="str">
        <x:v>COL-008</x:v>
      </x:c>
      <x:c r="B50" s="13" t="str">
        <x:v>Matte &amp; Color</x:v>
      </x:c>
      <x:c r="C50" s="13" t="str">
        <x:v>Explore Finishes</x:v>
      </x:c>
      <x:c r="D50" s="13" t="str">
        <x:v>Color PPF</x:v>
      </x:c>
      <x:c r="E50" s="13" t="str">
        <x:v>Midnight blue swatch</x:v>
      </x:c>
      <x:c r="F50" s="13" t="str">
        <x:v>swatch-midnight-blue.webp</x:v>
      </x:c>
      <x:c r="G50" s="13" t="str">
        <x:v>P1</x:v>
      </x:c>
      <x:c r="H50" s="13" t="str">
        <x:v>AI render</x:v>
      </x:c>
      <x:c r="I50" s="13" t="str">
        <x:v>4:3</x:v>
      </x:c>
      <x:c r="J50" s="13" t="str">
        <x:v>800 x 600</x:v>
      </x:c>
      <x:c r="K50" s="13" t="str">
        <x:v>Swatch crop</x:v>
      </x:c>
      <x:c r="L50" s="13" t="str">
        <x:v>Square crop</x:v>
      </x:c>
      <x:c r="M50" s="13" t="str">
        <x:v>Deep midnight blue swatch; luxury tone.</x:v>
      </x:c>
      <x:c r="N50" s="13" t="str">
        <x:v>Part of finish swatch library.</x:v>
      </x:c>
      <x:c r="O50" s="13" t="str">
        <x:v>Black, not blue.</x:v>
      </x:c>
      <x:c r="P50" s="13" t="str">
        <x:v>Midnight blue color film swatch.</x:v>
      </x:c>
      <x:c r="Q50" s="13" t="str">
        <x:v>To produce</x:v>
      </x:c>
      <x:c r="R50" s="13"/>
      <x:c r="S50" s="13"/>
      <x:c r="T50" s="13" t="str">
        <x:v>Matte &amp; Color</x:v>
      </x:c>
    </x:row>
    <x:row r="51">
      <x:c r="A51" s="13" t="str">
        <x:v>COL-009</x:v>
      </x:c>
      <x:c r="B51" s="13" t="str">
        <x:v>Matte &amp; Color</x:v>
      </x:c>
      <x:c r="C51" s="13" t="str">
        <x:v>Explore Finishes</x:v>
      </x:c>
      <x:c r="D51" s="13" t="str">
        <x:v>Color PPF</x:v>
      </x:c>
      <x:c r="E51" s="13" t="str">
        <x:v>Pearl white swatch</x:v>
      </x:c>
      <x:c r="F51" s="13" t="str">
        <x:v>swatch-pearl-white.webp</x:v>
      </x:c>
      <x:c r="G51" s="13" t="str">
        <x:v>P1</x:v>
      </x:c>
      <x:c r="H51" s="13" t="str">
        <x:v>AI render</x:v>
      </x:c>
      <x:c r="I51" s="13" t="str">
        <x:v>4:3</x:v>
      </x:c>
      <x:c r="J51" s="13" t="str">
        <x:v>800 x 600</x:v>
      </x:c>
      <x:c r="K51" s="13" t="str">
        <x:v>Swatch crop</x:v>
      </x:c>
      <x:c r="L51" s="13" t="str">
        <x:v>Square crop</x:v>
      </x:c>
      <x:c r="M51" s="13" t="str">
        <x:v>Pearl white swatch with subtle iridescence.</x:v>
      </x:c>
      <x:c r="N51" s="13" t="str">
        <x:v>Part of finish swatch library.</x:v>
      </x:c>
      <x:c r="O51" s="13" t="str">
        <x:v>Over-sparkly glitter.</x:v>
      </x:c>
      <x:c r="P51" s="13" t="str">
        <x:v>Pearl white color film swatch.</x:v>
      </x:c>
      <x:c r="Q51" s="13" t="str">
        <x:v>To produce</x:v>
      </x:c>
      <x:c r="R51" s="13"/>
      <x:c r="S51" s="13"/>
      <x:c r="T51" s="13" t="str">
        <x:v>Matte &amp; Color</x:v>
      </x:c>
    </x:row>
    <x:row r="52">
      <x:c r="A52" s="13" t="str">
        <x:v>COL-010</x:v>
      </x:c>
      <x:c r="B52" s="13" t="str">
        <x:v>Matte &amp; Color</x:v>
      </x:c>
      <x:c r="C52" s="13" t="str">
        <x:v>Explore Finishes</x:v>
      </x:c>
      <x:c r="D52" s="13" t="str">
        <x:v>Color PPF</x:v>
      </x:c>
      <x:c r="E52" s="13" t="str">
        <x:v>Matte black swatch</x:v>
      </x:c>
      <x:c r="F52" s="13" t="str">
        <x:v>swatch-matte-black.webp</x:v>
      </x:c>
      <x:c r="G52" s="13" t="str">
        <x:v>P1</x:v>
      </x:c>
      <x:c r="H52" s="13" t="str">
        <x:v>AI render</x:v>
      </x:c>
      <x:c r="I52" s="13" t="str">
        <x:v>4:3</x:v>
      </x:c>
      <x:c r="J52" s="13" t="str">
        <x:v>800 x 600</x:v>
      </x:c>
      <x:c r="K52" s="13" t="str">
        <x:v>Swatch crop</x:v>
      </x:c>
      <x:c r="L52" s="13" t="str">
        <x:v>Square crop</x:v>
      </x:c>
      <x:c r="M52" s="13" t="str">
        <x:v>Matte black swatch with controlled soft highlight.</x:v>
      </x:c>
      <x:c r="N52" s="13" t="str">
        <x:v>Part of finish swatch library.</x:v>
      </x:c>
      <x:c r="O52" s="13" t="str">
        <x:v>Too glossy.</x:v>
      </x:c>
      <x:c r="P52" s="13" t="str">
        <x:v>Matte black color film swatch.</x:v>
      </x:c>
      <x:c r="Q52" s="13" t="str">
        <x:v>To produce</x:v>
      </x:c>
      <x:c r="R52" s="13"/>
      <x:c r="S52" s="13"/>
      <x:c r="T52" s="13" t="str">
        <x:v>Matte &amp; Color</x:v>
      </x:c>
    </x:row>
    <x:row r="53">
      <x:c r="A53" s="13" t="str">
        <x:v>COL-011</x:v>
      </x:c>
      <x:c r="B53" s="13" t="str">
        <x:v>Matte &amp; Color</x:v>
      </x:c>
      <x:c r="C53" s="13" t="str">
        <x:v>Explore Finishes</x:v>
      </x:c>
      <x:c r="D53" s="13" t="str">
        <x:v>Color PPF</x:v>
      </x:c>
      <x:c r="E53" s="13" t="str">
        <x:v>Satin titanium swatch</x:v>
      </x:c>
      <x:c r="F53" s="13" t="str">
        <x:v>swatch-satin-titanium.webp</x:v>
      </x:c>
      <x:c r="G53" s="13" t="str">
        <x:v>P1</x:v>
      </x:c>
      <x:c r="H53" s="13" t="str">
        <x:v>AI render</x:v>
      </x:c>
      <x:c r="I53" s="13" t="str">
        <x:v>4:3</x:v>
      </x:c>
      <x:c r="J53" s="13" t="str">
        <x:v>800 x 600</x:v>
      </x:c>
      <x:c r="K53" s="13" t="str">
        <x:v>Swatch crop</x:v>
      </x:c>
      <x:c r="L53" s="13" t="str">
        <x:v>Square crop</x:v>
      </x:c>
      <x:c r="M53" s="13" t="str">
        <x:v>Satin titanium gray swatch; premium metal tone.</x:v>
      </x:c>
      <x:c r="N53" s="13" t="str">
        <x:v>Part of finish swatch library.</x:v>
      </x:c>
      <x:c r="O53" s="13" t="str">
        <x:v>Flat gray/no depth.</x:v>
      </x:c>
      <x:c r="P53" s="13" t="str">
        <x:v>Satin titanium color film swatch.</x:v>
      </x:c>
      <x:c r="Q53" s="13" t="str">
        <x:v>To produce</x:v>
      </x:c>
      <x:c r="R53" s="13"/>
      <x:c r="S53" s="13"/>
      <x:c r="T53" s="13" t="str">
        <x:v>Matte &amp; Color</x:v>
      </x:c>
    </x:row>
    <x:row r="54">
      <x:c r="A54" s="13" t="str">
        <x:v>COL-012</x:v>
      </x:c>
      <x:c r="B54" s="13" t="str">
        <x:v>Matte &amp; Color</x:v>
      </x:c>
      <x:c r="C54" s="13" t="str">
        <x:v>Explore Finishes</x:v>
      </x:c>
      <x:c r="D54" s="13" t="str">
        <x:v>Color PPF</x:v>
      </x:c>
      <x:c r="E54" s="13" t="str">
        <x:v>Silk purple swatch</x:v>
      </x:c>
      <x:c r="F54" s="13" t="str">
        <x:v>swatch-silk-purple.webp</x:v>
      </x:c>
      <x:c r="G54" s="13" t="str">
        <x:v>P1</x:v>
      </x:c>
      <x:c r="H54" s="13" t="str">
        <x:v>AI render</x:v>
      </x:c>
      <x:c r="I54" s="13" t="str">
        <x:v>4:3</x:v>
      </x:c>
      <x:c r="J54" s="13" t="str">
        <x:v>800 x 600</x:v>
      </x:c>
      <x:c r="K54" s="13" t="str">
        <x:v>Swatch crop</x:v>
      </x:c>
      <x:c r="L54" s="13" t="str">
        <x:v>Square crop</x:v>
      </x:c>
      <x:c r="M54" s="13" t="str">
        <x:v>Silk purple swatch with rich smooth reflection.</x:v>
      </x:c>
      <x:c r="N54" s="13" t="str">
        <x:v>Part of finish swatch library.</x:v>
      </x:c>
      <x:c r="O54" s="13" t="str">
        <x:v>Over-neon purple.</x:v>
      </x:c>
      <x:c r="P54" s="13" t="str">
        <x:v>Silk purple color film swatch.</x:v>
      </x:c>
      <x:c r="Q54" s="13" t="str">
        <x:v>To produce</x:v>
      </x:c>
      <x:c r="R54" s="13"/>
      <x:c r="S54" s="13"/>
      <x:c r="T54" s="13" t="str">
        <x:v>Matte &amp; Color</x:v>
      </x:c>
    </x:row>
    <x:row r="55">
      <x:c r="A55" s="13" t="str">
        <x:v>COL-013</x:v>
      </x:c>
      <x:c r="B55" s="13" t="str">
        <x:v>Matte &amp; Color</x:v>
      </x:c>
      <x:c r="C55" s="13" t="str">
        <x:v>Explore Finishes</x:v>
      </x:c>
      <x:c r="D55" s="13" t="str">
        <x:v>Color PPF</x:v>
      </x:c>
      <x:c r="E55" s="13" t="str">
        <x:v>Forest green swatch</x:v>
      </x:c>
      <x:c r="F55" s="13" t="str">
        <x:v>swatch-forest-green.webp</x:v>
      </x:c>
      <x:c r="G55" s="13" t="str">
        <x:v>P1</x:v>
      </x:c>
      <x:c r="H55" s="13" t="str">
        <x:v>AI render</x:v>
      </x:c>
      <x:c r="I55" s="13" t="str">
        <x:v>4:3</x:v>
      </x:c>
      <x:c r="J55" s="13" t="str">
        <x:v>800 x 600</x:v>
      </x:c>
      <x:c r="K55" s="13" t="str">
        <x:v>Swatch crop</x:v>
      </x:c>
      <x:c r="L55" s="13" t="str">
        <x:v>Square crop</x:v>
      </x:c>
      <x:c r="M55" s="13" t="str">
        <x:v>Forest green swatch with dark premium highlight.</x:v>
      </x:c>
      <x:c r="N55" s="13" t="str">
        <x:v>Part of finish swatch library.</x:v>
      </x:c>
      <x:c r="O55" s="13" t="str">
        <x:v>Military/camo look.</x:v>
      </x:c>
      <x:c r="P55" s="13" t="str">
        <x:v>Forest green color film swatch.</x:v>
      </x:c>
      <x:c r="Q55" s="13" t="str">
        <x:v>To produce</x:v>
      </x:c>
      <x:c r="R55" s="13"/>
      <x:c r="S55" s="13"/>
      <x:c r="T55" s="13" t="str">
        <x:v>Matte &amp; Color</x:v>
      </x:c>
    </x:row>
    <x:row r="56">
      <x:c r="A56" s="13" t="str">
        <x:v>COL-014</x:v>
      </x:c>
      <x:c r="B56" s="13" t="str">
        <x:v>Matte &amp; Color</x:v>
      </x:c>
      <x:c r="C56" s="13" t="str">
        <x:v>See It On The Car</x:v>
      </x:c>
      <x:c r="D56" s="13" t="str">
        <x:v>Color PPF</x:v>
      </x:c>
      <x:c r="E56" s="13" t="str">
        <x:v>Gallery car gray/black</x:v>
      </x:c>
      <x:c r="F56" s="13" t="str">
        <x:v>gallery-car-gray-black.webp</x:v>
      </x:c>
      <x:c r="G56" s="13" t="str">
        <x:v>P2</x:v>
      </x:c>
      <x:c r="H56" s="13" t="str">
        <x:v>AI render</x:v>
      </x:c>
      <x:c r="I56" s="13" t="str">
        <x:v>16:9</x:v>
      </x:c>
      <x:c r="J56" s="13" t="str">
        <x:v>1000 x 600</x:v>
      </x:c>
      <x:c r="K56" s="13" t="str">
        <x:v>Car centered</x:v>
      </x:c>
      <x:c r="L56" s="13" t="str">
        <x:v>4:3 crop</x:v>
      </x:c>
      <x:c r="M56" s="13" t="str">
        <x:v>Dark gray/black finished car in clean setting.</x:v>
      </x:c>
      <x:c r="N56" s="13" t="str">
        <x:v>Gallery inspiration.</x:v>
      </x:c>
      <x:c r="O56" s="13" t="str">
        <x:v>Dirty outdoor low-res shot.</x:v>
      </x:c>
      <x:c r="P56" s="13" t="str">
        <x:v>Dark gray car with premium film finish.</x:v>
      </x:c>
      <x:c r="Q56" s="13" t="str">
        <x:v>To produce</x:v>
      </x:c>
      <x:c r="R56" s="13"/>
      <x:c r="S56" s="13"/>
      <x:c r="T56" s="13" t="str">
        <x:v>Matte &amp; Color</x:v>
      </x:c>
    </x:row>
    <x:row r="57">
      <x:c r="A57" s="13" t="str">
        <x:v>COL-015</x:v>
      </x:c>
      <x:c r="B57" s="13" t="str">
        <x:v>Matte &amp; Color</x:v>
      </x:c>
      <x:c r="C57" s="13" t="str">
        <x:v>See It On The Car</x:v>
      </x:c>
      <x:c r="D57" s="13" t="str">
        <x:v>Color PPF</x:v>
      </x:c>
      <x:c r="E57" s="13" t="str">
        <x:v>Gallery car blue</x:v>
      </x:c>
      <x:c r="F57" s="13" t="str">
        <x:v>gallery-car-blue.webp</x:v>
      </x:c>
      <x:c r="G57" s="13" t="str">
        <x:v>P2</x:v>
      </x:c>
      <x:c r="H57" s="13" t="str">
        <x:v>AI render</x:v>
      </x:c>
      <x:c r="I57" s="13" t="str">
        <x:v>16:9</x:v>
      </x:c>
      <x:c r="J57" s="13" t="str">
        <x:v>1000 x 600</x:v>
      </x:c>
      <x:c r="K57" s="13" t="str">
        <x:v>Car centered</x:v>
      </x:c>
      <x:c r="L57" s="13" t="str">
        <x:v>4:3 crop</x:v>
      </x:c>
      <x:c r="M57" s="13" t="str">
        <x:v>Blue premium film finish on car.</x:v>
      </x:c>
      <x:c r="N57" s="13" t="str">
        <x:v>Gallery inspiration.</x:v>
      </x:c>
      <x:c r="O57" s="13" t="str">
        <x:v>Cluttered background.</x:v>
      </x:c>
      <x:c r="P57" s="13" t="str">
        <x:v>Blue car with premium color film finish.</x:v>
      </x:c>
      <x:c r="Q57" s="13" t="str">
        <x:v>To produce</x:v>
      </x:c>
      <x:c r="R57" s="13"/>
      <x:c r="S57" s="13"/>
      <x:c r="T57" s="13" t="str">
        <x:v>Matte &amp; Color</x:v>
      </x:c>
    </x:row>
    <x:row r="58">
      <x:c r="A58" s="13" t="str">
        <x:v>COL-016</x:v>
      </x:c>
      <x:c r="B58" s="13" t="str">
        <x:v>Matte &amp; Color</x:v>
      </x:c>
      <x:c r="C58" s="13" t="str">
        <x:v>See It On The Car</x:v>
      </x:c>
      <x:c r="D58" s="13" t="str">
        <x:v>Color PPF</x:v>
      </x:c>
      <x:c r="E58" s="13" t="str">
        <x:v>Gallery car red</x:v>
      </x:c>
      <x:c r="F58" s="13" t="str">
        <x:v>gallery-car-red.webp</x:v>
      </x:c>
      <x:c r="G58" s="13" t="str">
        <x:v>P2</x:v>
      </x:c>
      <x:c r="H58" s="13" t="str">
        <x:v>AI render</x:v>
      </x:c>
      <x:c r="I58" s="13" t="str">
        <x:v>16:9</x:v>
      </x:c>
      <x:c r="J58" s="13" t="str">
        <x:v>1000 x 600</x:v>
      </x:c>
      <x:c r="K58" s="13" t="str">
        <x:v>Car centered</x:v>
      </x:c>
      <x:c r="L58" s="13" t="str">
        <x:v>4:3 crop</x:v>
      </x:c>
      <x:c r="M58" s="13" t="str">
        <x:v>Red premium film finish on car.</x:v>
      </x:c>
      <x:c r="N58" s="13" t="str">
        <x:v>Gallery inspiration.</x:v>
      </x:c>
      <x:c r="O58" s="13" t="str">
        <x:v>Over-saturated, cartoon red.</x:v>
      </x:c>
      <x:c r="P58" s="13" t="str">
        <x:v>Red car with premium color film finish.</x:v>
      </x:c>
      <x:c r="Q58" s="13" t="str">
        <x:v>To produce</x:v>
      </x:c>
      <x:c r="R58" s="13"/>
      <x:c r="S58" s="13"/>
      <x:c r="T58" s="13" t="str">
        <x:v>Matte &amp; Color</x:v>
      </x:c>
    </x:row>
    <x:row r="59">
      <x:c r="A59" s="13" t="str">
        <x:v>COL-017</x:v>
      </x:c>
      <x:c r="B59" s="13" t="str">
        <x:v>Matte &amp; Color</x:v>
      </x:c>
      <x:c r="C59" s="13" t="str">
        <x:v>See It On The Car</x:v>
      </x:c>
      <x:c r="D59" s="13" t="str">
        <x:v>Color PPF</x:v>
      </x:c>
      <x:c r="E59" s="13" t="str">
        <x:v>Gallery car purple</x:v>
      </x:c>
      <x:c r="F59" s="13" t="str">
        <x:v>gallery-car-purple.webp</x:v>
      </x:c>
      <x:c r="G59" s="13" t="str">
        <x:v>P2</x:v>
      </x:c>
      <x:c r="H59" s="13" t="str">
        <x:v>AI render</x:v>
      </x:c>
      <x:c r="I59" s="13" t="str">
        <x:v>16:9</x:v>
      </x:c>
      <x:c r="J59" s="13" t="str">
        <x:v>1000 x 600</x:v>
      </x:c>
      <x:c r="K59" s="13" t="str">
        <x:v>Car centered</x:v>
      </x:c>
      <x:c r="L59" s="13" t="str">
        <x:v>4:3 crop</x:v>
      </x:c>
      <x:c r="M59" s="13" t="str">
        <x:v>Purple/shift premium film finish on car.</x:v>
      </x:c>
      <x:c r="N59" s="13" t="str">
        <x:v>Gallery inspiration.</x:v>
      </x:c>
      <x:c r="O59" s="13" t="str">
        <x:v>Heavy neon background.</x:v>
      </x:c>
      <x:c r="P59" s="13" t="str">
        <x:v>Purple car with premium color shift film finish.</x:v>
      </x:c>
      <x:c r="Q59" s="13" t="str">
        <x:v>To produce</x:v>
      </x:c>
      <x:c r="R59" s="13"/>
      <x:c r="S59" s="13"/>
      <x:c r="T59" s="13" t="str">
        <x:v>Matte &amp; Color</x:v>
      </x:c>
    </x:row>
    <x:row r="60">
      <x:c r="A60" s="13" t="str">
        <x:v>COL-018</x:v>
      </x:c>
      <x:c r="B60" s="13" t="str">
        <x:v>Matte &amp; Color</x:v>
      </x:c>
      <x:c r="C60" s="13" t="str">
        <x:v>See It On The Car</x:v>
      </x:c>
      <x:c r="D60" s="13" t="str">
        <x:v>Color PPF</x:v>
      </x:c>
      <x:c r="E60" s="13" t="str">
        <x:v>Gallery car green</x:v>
      </x:c>
      <x:c r="F60" s="13" t="str">
        <x:v>gallery-car-green.webp</x:v>
      </x:c>
      <x:c r="G60" s="13" t="str">
        <x:v>P2</x:v>
      </x:c>
      <x:c r="H60" s="13" t="str">
        <x:v>AI render</x:v>
      </x:c>
      <x:c r="I60" s="13" t="str">
        <x:v>16:9</x:v>
      </x:c>
      <x:c r="J60" s="13" t="str">
        <x:v>1000 x 600</x:v>
      </x:c>
      <x:c r="K60" s="13" t="str">
        <x:v>Car centered</x:v>
      </x:c>
      <x:c r="L60" s="13" t="str">
        <x:v>4:3 crop</x:v>
      </x:c>
      <x:c r="M60" s="13" t="str">
        <x:v>Green premium film finish on car.</x:v>
      </x:c>
      <x:c r="N60" s="13" t="str">
        <x:v>Gallery inspiration.</x:v>
      </x:c>
      <x:c r="O60" s="13" t="str">
        <x:v>Camo/rough outdoor look.</x:v>
      </x:c>
      <x:c r="P60" s="13" t="str">
        <x:v>Green car with premium color film finish.</x:v>
      </x:c>
      <x:c r="Q60" s="13" t="str">
        <x:v>To produce</x:v>
      </x:c>
      <x:c r="R60" s="13"/>
      <x:c r="S60" s="13"/>
      <x:c r="T60" s="13" t="str">
        <x:v>Matte &amp; Color</x:v>
      </x:c>
    </x:row>
    <x:row r="61">
      <x:c r="A61" s="13" t="str">
        <x:v>COL-019</x:v>
      </x:c>
      <x:c r="B61" s="13" t="str">
        <x:v>Matte &amp; Color</x:v>
      </x:c>
      <x:c r="C61" s="13" t="str">
        <x:v>See It On The Car</x:v>
      </x:c>
      <x:c r="D61" s="13" t="str">
        <x:v>Ultimate Carbon Fiber</x:v>
      </x:c>
      <x:c r="E61" s="13" t="str">
        <x:v>Gallery car carbon/white</x:v>
      </x:c>
      <x:c r="F61" s="13" t="str">
        <x:v>gallery-car-carbon-white.webp</x:v>
      </x:c>
      <x:c r="G61" s="13" t="str">
        <x:v>P2</x:v>
      </x:c>
      <x:c r="H61" s="13" t="str">
        <x:v>AI render</x:v>
      </x:c>
      <x:c r="I61" s="13" t="str">
        <x:v>16:9</x:v>
      </x:c>
      <x:c r="J61" s="13" t="str">
        <x:v>1000 x 600</x:v>
      </x:c>
      <x:c r="K61" s="13" t="str">
        <x:v>Car centered</x:v>
      </x:c>
      <x:c r="L61" s="13" t="str">
        <x:v>4:3 crop</x:v>
      </x:c>
      <x:c r="M61" s="13" t="str">
        <x:v>White car with carbon detail or full carbon accent finish.</x:v>
      </x:c>
      <x:c r="N61" s="13" t="str">
        <x:v>Gallery inspiration.</x:v>
      </x:c>
      <x:c r="O61" s="13" t="str">
        <x:v>Messy carbon pattern.</x:v>
      </x:c>
      <x:c r="P61" s="13" t="str">
        <x:v>White car with carbon fiber film detail.</x:v>
      </x:c>
      <x:c r="Q61" s="13" t="str">
        <x:v>To produce</x:v>
      </x:c>
      <x:c r="R61" s="13"/>
      <x:c r="S61" s="13"/>
      <x:c r="T61" s="13" t="str">
        <x:v>Matte &amp; Color</x:v>
      </x:c>
    </x:row>
    <x:row r="62">
      <x:c r="A62" s="13" t="str">
        <x:v>ABT-001</x:v>
      </x:c>
      <x:c r="B62" s="13" t="str">
        <x:v>About NEXS</x:v>
      </x:c>
      <x:c r="C62" s="13" t="str">
        <x:v>Hero</x:v>
      </x:c>
      <x:c r="D62" s="13" t="str">
        <x:v>Global</x:v>
      </x:c>
      <x:c r="E62" s="13" t="str">
        <x:v>About hero car close-up</x:v>
      </x:c>
      <x:c r="F62" s="13" t="str">
        <x:v>about-hero-car-detail.webp</x:v>
      </x:c>
      <x:c r="G62" s="13" t="str">
        <x:v>P0</x:v>
      </x:c>
      <x:c r="H62" s="13" t="str">
        <x:v>AI render (Launch v1)</x:v>
      </x:c>
      <x:c r="I62" s="13" t="str">
        <x:v>16:9</x:v>
      </x:c>
      <x:c r="J62" s="13" t="str">
        <x:v>2880 x 1400</x:v>
      </x:c>
      <x:c r="K62" s="13" t="str">
        <x:v>Car right, text left</x:v>
      </x:c>
      <x:c r="L62" s="13" t="str">
        <x:v>4:5 crop detail</x:v>
      </x:c>
      <x:c r="M62" s="13" t="str">
        <x:v>Dark gray/silver car close-up with studio light reflections; still within white layout.</x:v>
      </x:c>
      <x:c r="N62" s="13" t="str">
        <x:v>Matches About mockup hero image. Launch v1 direction: AI render approved by owner; generate in Apple-style white/silver premium theme with restrained red accents.</x:v>
      </x:c>
      <x:c r="O62" s="13" t="str">
        <x:v>Over-dark full page. QA for AI artifacts, distorted logos, fake badges, wrong text, wrong proportions, inconsistent reflections.</x:v>
      </x:c>
      <x:c r="P62" s="13" t="str">
        <x:v>Close-up of a premium car front showing reflective protected surface.</x:v>
      </x:c>
      <x:c r="Q62" s="13" t="str">
        <x:v>AI render queued</x:v>
      </x:c>
      <x:c r="R62" s="13" t="str">
        <x:v>Designer / AI Render</x:v>
      </x:c>
      <x:c r="S62" s="13"/>
      <x:c r="T62" s="13" t="str">
        <x:v>About NEXS</x:v>
      </x:c>
    </x:row>
    <x:row r="63">
      <x:c r="A63" s="13" t="str">
        <x:v>ABT-002</x:v>
      </x:c>
      <x:c r="B63" s="13" t="str">
        <x:v>About NEXS</x:v>
      </x:c>
      <x:c r="C63" s="13" t="str">
        <x:v>Story</x:v>
      </x:c>
      <x:c r="D63" s="13" t="str">
        <x:v>Global</x:v>
      </x:c>
      <x:c r="E63" s="13" t="str">
        <x:v>NEXS studio signage</x:v>
      </x:c>
      <x:c r="F63" s="13" t="str">
        <x:v>about-nexs-studio-signage.webp</x:v>
      </x:c>
      <x:c r="G63" s="13" t="str">
        <x:v>P0</x:v>
      </x:c>
      <x:c r="H63" s="13" t="str">
        <x:v>AI render (Launch v1)</x:v>
      </x:c>
      <x:c r="I63" s="13" t="str">
        <x:v>16:9</x:v>
      </x:c>
      <x:c r="J63" s="13" t="str">
        <x:v>1400 x 800</x:v>
      </x:c>
      <x:c r="K63" s="13" t="str">
        <x:v>Sign wall with clean space</x:v>
      </x:c>
      <x:c r="L63" s="13" t="str">
        <x:v>4:3 crop</x:v>
      </x:c>
      <x:c r="M63" s="13" t="str">
        <x:v>Premium black/charcoal wall with NEXS signage; controlled contrast.</x:v>
      </x:c>
      <x:c r="N63" s="13" t="str">
        <x:v>Use for brand story card. Launch v1 direction: AI render approved by owner; generate in Apple-style white/silver premium theme with restrained red accents.</x:v>
      </x:c>
      <x:c r="O63" s="13" t="str">
        <x:v>Fake readable text beyond approved line. QA for AI artifacts, distorted logos, fake badges, wrong text, wrong proportions, inconsistent reflections.</x:v>
      </x:c>
      <x:c r="P63" s="13" t="str">
        <x:v>NEXS premium studio signage in a clean automotive space.</x:v>
      </x:c>
      <x:c r="Q63" s="13" t="str">
        <x:v>AI render queued</x:v>
      </x:c>
      <x:c r="R63" s="13" t="str">
        <x:v>Designer / AI Render</x:v>
      </x:c>
      <x:c r="S63" s="13"/>
      <x:c r="T63" s="13" t="str">
        <x:v>About NEXS</x:v>
      </x:c>
    </x:row>
    <x:row r="64">
      <x:c r="A64" s="13" t="str">
        <x:v>ABT-003</x:v>
      </x:c>
      <x:c r="B64" s="13" t="str">
        <x:v>About NEXS</x:v>
      </x:c>
      <x:c r="C64" s="13" t="str">
        <x:v>Story</x:v>
      </x:c>
      <x:c r="D64" s="13" t="str">
        <x:v>Dealer/Installer</x:v>
      </x:c>
      <x:c r="E64" s="13" t="str">
        <x:v>Detailing hands / surface inspection</x:v>
      </x:c>
      <x:c r="F64" s="13" t="str">
        <x:v>about-surface-inspection.webp</x:v>
      </x:c>
      <x:c r="G64" s="13" t="str">
        <x:v>P1</x:v>
      </x:c>
      <x:c r="H64" s="13" t="str">
        <x:v>Real photo</x:v>
      </x:c>
      <x:c r="I64" s="13" t="str">
        <x:v>16:9</x:v>
      </x:c>
      <x:c r="J64" s="13" t="str">
        <x:v>1200 x 800</x:v>
      </x:c>
      <x:c r="K64" s="13" t="str">
        <x:v>Hands inspecting panel</x:v>
      </x:c>
      <x:c r="L64" s="13" t="str">
        <x:v>4:3 crop</x:v>
      </x:c>
      <x:c r="M64" s="13" t="str">
        <x:v>Professional hand/detailing close-up; no full face required.</x:v>
      </x:c>
      <x:c r="N64" s="13" t="str">
        <x:v>Supports people who understand surfaces without being casual.</x:v>
      </x:c>
      <x:c r="O64" s="13" t="str">
        <x:v>Messy clothing/tools, visible personal data.</x:v>
      </x:c>
      <x:c r="P64" s="13" t="str">
        <x:v>Technician inspecting a vehicle surface before film installation.</x:v>
      </x:c>
      <x:c r="Q64" s="13" t="str">
        <x:v>To produce</x:v>
      </x:c>
      <x:c r="R64" s="13"/>
      <x:c r="S64" s="13"/>
      <x:c r="T64" s="13" t="str">
        <x:v>About NEXS</x:v>
      </x:c>
    </x:row>
    <x:row r="65">
      <x:c r="A65" s="13" t="str">
        <x:v>ABT-004</x:v>
      </x:c>
      <x:c r="B65" s="13" t="str">
        <x:v>About NEXS</x:v>
      </x:c>
      <x:c r="C65" s="13" t="str">
        <x:v>Technology cards</x:v>
      </x:c>
      <x:c r="D65" s="13" t="str">
        <x:v>Technology</x:v>
      </x:c>
      <x:c r="E65" s="13" t="str">
        <x:v>Advanced TPU material macro</x:v>
      </x:c>
      <x:c r="F65" s="13" t="str">
        <x:v>about-advanced-tpu-macro.webp</x:v>
      </x:c>
      <x:c r="G65" s="13" t="str">
        <x:v>P1</x:v>
      </x:c>
      <x:c r="H65" s="13" t="str">
        <x:v>AI render</x:v>
      </x:c>
      <x:c r="I65" s="13" t="str">
        <x:v>4:3</x:v>
      </x:c>
      <x:c r="J65" s="13" t="str">
        <x:v>1000 x 750</x:v>
      </x:c>
      <x:c r="K65" s="13" t="str">
        <x:v>Clean material macro</x:v>
      </x:c>
      <x:c r="L65" s="13" t="str">
        <x:v>Square crop</x:v>
      </x:c>
      <x:c r="M65" s="13" t="str">
        <x:v>Premium translucent TPU material/pellets macro; clean white/gray light.</x:v>
      </x:c>
      <x:c r="N65" s="13" t="str">
        <x:v>Use for material card.</x:v>
      </x:c>
      <x:c r="O65" s="13" t="str">
        <x:v>Supplier/factory labels.</x:v>
      </x:c>
      <x:c r="P65" s="13" t="str">
        <x:v>Macro image of premium TPU material for automotive film.</x:v>
      </x:c>
      <x:c r="Q65" s="13" t="str">
        <x:v>To produce</x:v>
      </x:c>
      <x:c r="R65" s="13"/>
      <x:c r="S65" s="13"/>
      <x:c r="T65" s="13" t="str">
        <x:v>About NEXS</x:v>
      </x:c>
    </x:row>
    <x:row r="66">
      <x:c r="A66" s="13" t="str">
        <x:v>ABT-005</x:v>
      </x:c>
      <x:c r="B66" s="13" t="str">
        <x:v>About NEXS</x:v>
      </x:c>
      <x:c r="C66" s="13" t="str">
        <x:v>Technology cards</x:v>
      </x:c>
      <x:c r="D66" s="13" t="str">
        <x:v>Clear PPF</x:v>
      </x:c>
      <x:c r="E66" s="13" t="str">
        <x:v>Optical clarity close-up</x:v>
      </x:c>
      <x:c r="F66" s="13" t="str">
        <x:v>about-optical-clarity.webp</x:v>
      </x:c>
      <x:c r="G66" s="13" t="str">
        <x:v>P1</x:v>
      </x:c>
      <x:c r="H66" s="13" t="str">
        <x:v>AI render</x:v>
      </x:c>
      <x:c r="I66" s="13" t="str">
        <x:v>4:3</x:v>
      </x:c>
      <x:c r="J66" s="13" t="str">
        <x:v>1000 x 750</x:v>
      </x:c>
      <x:c r="K66" s="13" t="str">
        <x:v>Film over surface</x:v>
      </x:c>
      <x:c r="L66" s="13" t="str">
        <x:v>Square crop</x:v>
      </x:c>
      <x:c r="M66" s="13" t="str">
        <x:v>Clear transparent film showing optical clarity and minimal distortion.</x:v>
      </x:c>
      <x:c r="N66" s="13" t="str">
        <x:v>Use for clarity card.</x:v>
      </x:c>
      <x:c r="O66" s="13" t="str">
        <x:v>Warped optics that look bad.</x:v>
      </x:c>
      <x:c r="P66" s="13" t="str">
        <x:v>Close-up showing optical clarity of transparent automotive film.</x:v>
      </x:c>
      <x:c r="Q66" s="13" t="str">
        <x:v>To produce</x:v>
      </x:c>
      <x:c r="R66" s="13"/>
      <x:c r="S66" s="13"/>
      <x:c r="T66" s="13" t="str">
        <x:v>About NEXS</x:v>
      </x:c>
    </x:row>
    <x:row r="67">
      <x:c r="A67" s="13" t="str">
        <x:v>ABT-006</x:v>
      </x:c>
      <x:c r="B67" s="13" t="str">
        <x:v>About NEXS</x:v>
      </x:c>
      <x:c r="C67" s="13" t="str">
        <x:v>Technology cards</x:v>
      </x:c>
      <x:c r="D67" s="13" t="str">
        <x:v>Technology</x:v>
      </x:c>
      <x:c r="E67" s="13" t="str">
        <x:v>Hydrophobic surface</x:v>
      </x:c>
      <x:c r="F67" s="13" t="str">
        <x:v>about-hydrophobic-surface.webp</x:v>
      </x:c>
      <x:c r="G67" s="13" t="str">
        <x:v>P1</x:v>
      </x:c>
      <x:c r="H67" s="13" t="str">
        <x:v>Real photo</x:v>
      </x:c>
      <x:c r="I67" s="13" t="str">
        <x:v>4:3</x:v>
      </x:c>
      <x:c r="J67" s="13" t="str">
        <x:v>1000 x 750</x:v>
      </x:c>
      <x:c r="K67" s="13" t="str">
        <x:v>Water bead macro</x:v>
      </x:c>
      <x:c r="L67" s="13" t="str">
        <x:v>Square crop</x:v>
      </x:c>
      <x:c r="M67" s="13" t="str">
        <x:v>Water beads on protected surface; clear and premium.</x:v>
      </x:c>
      <x:c r="N67" s="13" t="str">
        <x:v>Can reuse with unique crop from Clear PPF macro.</x:v>
      </x:c>
      <x:c r="O67" s="13" t="str">
        <x:v>Dirty or dusty water beads.</x:v>
      </x:c>
      <x:c r="P67" s="13" t="str">
        <x:v>Hydrophobic water beads on a protected automotive surface.</x:v>
      </x:c>
      <x:c r="Q67" s="13" t="str">
        <x:v>To produce</x:v>
      </x:c>
      <x:c r="R67" s="13"/>
      <x:c r="S67" s="13"/>
      <x:c r="T67" s="13" t="str">
        <x:v>About NEXS</x:v>
      </x:c>
    </x:row>
    <x:row r="68">
      <x:c r="A68" s="13" t="str">
        <x:v>ABT-007</x:v>
      </x:c>
      <x:c r="B68" s="13" t="str">
        <x:v>About NEXS</x:v>
      </x:c>
      <x:c r="C68" s="13" t="str">
        <x:v>Technology cards</x:v>
      </x:c>
      <x:c r="D68" s="13" t="str">
        <x:v>Technology</x:v>
      </x:c>
      <x:c r="E68" s="13" t="str">
        <x:v>Anti-yellowing UV visual</x:v>
      </x:c>
      <x:c r="F68" s="13" t="str">
        <x:v>about-anti-yellowing-uv.webp</x:v>
      </x:c>
      <x:c r="G68" s="13" t="str">
        <x:v>P2</x:v>
      </x:c>
      <x:c r="H68" s="13" t="str">
        <x:v>AI render</x:v>
      </x:c>
      <x:c r="I68" s="13" t="str">
        <x:v>4:3</x:v>
      </x:c>
      <x:c r="J68" s="13" t="str">
        <x:v>1000 x 750</x:v>
      </x:c>
      <x:c r="K68" s="13" t="str">
        <x:v>Subtle UV light abstract</x:v>
      </x:c>
      <x:c r="L68" s="13" t="str">
        <x:v>Square crop</x:v>
      </x:c>
      <x:c r="M68" s="13" t="str">
        <x:v>Clean minimal UV/sunlight visual; not aggressive.</x:v>
      </x:c>
      <x:c r="N68" s="13" t="str">
        <x:v>Use as icon/card image if needed.</x:v>
      </x:c>
      <x:c r="O68" s="13" t="str">
        <x:v>Scary sun damage visuals.</x:v>
      </x:c>
      <x:c r="P68" s="13" t="str">
        <x:v>Subtle visual representing anti-yellowing UV stability.</x:v>
      </x:c>
      <x:c r="Q68" s="13" t="str">
        <x:v>To produce</x:v>
      </x:c>
      <x:c r="R68" s="13"/>
      <x:c r="S68" s="13"/>
      <x:c r="T68" s="13" t="str">
        <x:v>About NEXS</x:v>
      </x:c>
    </x:row>
    <x:row r="69">
      <x:c r="A69" s="13" t="str">
        <x:v>ABT-008</x:v>
      </x:c>
      <x:c r="B69" s="13" t="str">
        <x:v>About NEXS</x:v>
      </x:c>
      <x:c r="C69" s="13" t="str">
        <x:v>Technology cards</x:v>
      </x:c>
      <x:c r="D69" s="13" t="str">
        <x:v>Technology</x:v>
      </x:c>
      <x:c r="E69" s="13" t="str">
        <x:v>Installer-friendly adhesive</x:v>
      </x:c>
      <x:c r="F69" s="13" t="str">
        <x:v>about-installer-adhesive.webp</x:v>
      </x:c>
      <x:c r="G69" s="13" t="str">
        <x:v>P2</x:v>
      </x:c>
      <x:c r="H69" s="13" t="str">
        <x:v>Real photo</x:v>
      </x:c>
      <x:c r="I69" s="13" t="str">
        <x:v>4:3</x:v>
      </x:c>
      <x:c r="J69" s="13" t="str">
        <x:v>1000 x 750</x:v>
      </x:c>
      <x:c r="K69" s="13" t="str">
        <x:v>Peel/apply detail</x:v>
      </x:c>
      <x:c r="L69" s="13" t="str">
        <x:v>Square crop</x:v>
      </x:c>
      <x:c r="M69" s="13" t="str">
        <x:v>Close-up of installer positioning film smoothly.</x:v>
      </x:c>
      <x:c r="N69" s="13" t="str">
        <x:v>Real photo preferred.</x:v>
      </x:c>
      <x:c r="O69" s="13" t="str">
        <x:v>Bubbles, wrinkles, rough hands.</x:v>
      </x:c>
      <x:c r="P69" s="13" t="str">
        <x:v>Installer positioning automotive film with smooth adhesive performance.</x:v>
      </x:c>
      <x:c r="Q69" s="13" t="str">
        <x:v>To produce</x:v>
      </x:c>
      <x:c r="R69" s="13"/>
      <x:c r="S69" s="13"/>
      <x:c r="T69" s="13" t="str">
        <x:v>About NEXS</x:v>
      </x:c>
    </x:row>
    <x:row r="70">
      <x:c r="A70" s="13" t="str">
        <x:v>ABT-009</x:v>
      </x:c>
      <x:c r="B70" s="13" t="str">
        <x:v>About NEXS</x:v>
      </x:c>
      <x:c r="C70" s="13" t="str">
        <x:v>Why Choose NEXS</x:v>
      </x:c>
      <x:c r="D70" s="13" t="str">
        <x:v>Technology</x:v>
      </x:c>
      <x:c r="E70" s="13" t="str">
        <x:v>Premium material selection</x:v>
      </x:c>
      <x:c r="F70" s="13" t="str">
        <x:v>about-premium-material-selection.webp</x:v>
      </x:c>
      <x:c r="G70" s="13" t="str">
        <x:v>P1</x:v>
      </x:c>
      <x:c r="H70" s="13" t="str">
        <x:v>AI render</x:v>
      </x:c>
      <x:c r="I70" s="13" t="str">
        <x:v>16:9</x:v>
      </x:c>
      <x:c r="J70" s="13" t="str">
        <x:v>1200 x 700</x:v>
      </x:c>
      <x:c r="K70" s="13" t="str">
        <x:v>Material close-up card</x:v>
      </x:c>
      <x:c r="L70" s="13" t="str">
        <x:v>4:3 crop</x:v>
      </x:c>
      <x:c r="M70" s="13" t="str">
        <x:v>Elegant close-up of premium film materials; monochrome and high contrast.</x:v>
      </x:c>
      <x:c r="N70" s="13" t="str">
        <x:v>Use for Why Choose card.</x:v>
      </x:c>
      <x:c r="O70" s="13" t="str">
        <x:v>Supplier/factory info visible.</x:v>
      </x:c>
      <x:c r="P70" s="13" t="str">
        <x:v>Premium raw material selection for automotive film.</x:v>
      </x:c>
      <x:c r="Q70" s="13" t="str">
        <x:v>To produce</x:v>
      </x:c>
      <x:c r="R70" s="13"/>
      <x:c r="S70" s="13"/>
      <x:c r="T70" s="13" t="str">
        <x:v>About NEXS</x:v>
      </x:c>
    </x:row>
    <x:row r="71">
      <x:c r="A71" s="13" t="str">
        <x:v>ABT-010</x:v>
      </x:c>
      <x:c r="B71" s="13" t="str">
        <x:v>About NEXS</x:v>
      </x:c>
      <x:c r="C71" s="13" t="str">
        <x:v>Why Choose NEXS</x:v>
      </x:c>
      <x:c r="D71" s="13" t="str">
        <x:v>Global</x:v>
      </x:c>
      <x:c r="E71" s="13" t="str">
        <x:v>Complete product architecture</x:v>
      </x:c>
      <x:c r="F71" s="13" t="str">
        <x:v>about-product-architecture.webp</x:v>
      </x:c>
      <x:c r="G71" s="13" t="str">
        <x:v>P1</x:v>
      </x:c>
      <x:c r="H71" s="13" t="str">
        <x:v>3D render</x:v>
      </x:c>
      <x:c r="I71" s="13" t="str">
        <x:v>16:9</x:v>
      </x:c>
      <x:c r="J71" s="13" t="str">
        <x:v>1200 x 700</x:v>
      </x:c>
      <x:c r="K71" s="13" t="str">
        <x:v>Film rolls/product lineup</x:v>
      </x:c>
      <x:c r="L71" s="13" t="str">
        <x:v>4:3 crop</x:v>
      </x:c>
      <x:c r="M71" s="13" t="str">
        <x:v>Organized product architecture visual: clear/matte/color rolls or abstract layers.</x:v>
      </x:c>
      <x:c r="N71" s="13" t="str">
        <x:v>No pricing or internal cost.</x:v>
      </x:c>
      <x:c r="O71" s="13" t="str">
        <x:v>Complex chart with unreadable text.</x:v>
      </x:c>
      <x:c r="P71" s="13" t="str">
        <x:v>Organized NEXS film product architecture with multiple film categories.</x:v>
      </x:c>
      <x:c r="Q71" s="13" t="str">
        <x:v>To produce</x:v>
      </x:c>
      <x:c r="R71" s="13"/>
      <x:c r="S71" s="13"/>
      <x:c r="T71" s="13" t="str">
        <x:v>About NEXS</x:v>
      </x:c>
    </x:row>
    <x:row r="72">
      <x:c r="A72" s="13" t="str">
        <x:v>ABT-011</x:v>
      </x:c>
      <x:c r="B72" s="13" t="str">
        <x:v>About NEXS</x:v>
      </x:c>
      <x:c r="C72" s="13" t="str">
        <x:v>Why Choose NEXS</x:v>
      </x:c>
      <x:c r="D72" s="13" t="str">
        <x:v>Global</x:v>
      </x:c>
      <x:c r="E72" s="13" t="str">
        <x:v>Real-world usability</x:v>
      </x:c>
      <x:c r="F72" s="13" t="str">
        <x:v>about-real-world-usability.webp</x:v>
      </x:c>
      <x:c r="G72" s="13" t="str">
        <x:v>P1</x:v>
      </x:c>
      <x:c r="H72" s="13" t="str">
        <x:v>Real photo</x:v>
      </x:c>
      <x:c r="I72" s="13" t="str">
        <x:v>16:9</x:v>
      </x:c>
      <x:c r="J72" s="13" t="str">
        <x:v>1200 x 700</x:v>
      </x:c>
      <x:c r="K72" s="13" t="str">
        <x:v>Rain/water bead on car</x:v>
      </x:c>
      <x:c r="L72" s="13" t="str">
        <x:v>4:3 crop</x:v>
      </x:c>
      <x:c r="M72" s="13" t="str">
        <x:v>Water beads and real surface usage in clean environment.</x:v>
      </x:c>
      <x:c r="N72" s="13" t="str">
        <x:v>Use to show everyday use without roughness.</x:v>
      </x:c>
      <x:c r="O72" s="13" t="str">
        <x:v>Dirty road grime hero.</x:v>
      </x:c>
      <x:c r="P72" s="13" t="str">
        <x:v>Protected car surface with water beads in real-world use.</x:v>
      </x:c>
      <x:c r="Q72" s="13" t="str">
        <x:v>To produce</x:v>
      </x:c>
      <x:c r="R72" s="13"/>
      <x:c r="S72" s="13"/>
      <x:c r="T72" s="13" t="str">
        <x:v>About NEXS</x:v>
      </x:c>
    </x:row>
    <x:row r="73">
      <x:c r="A73" s="13" t="str">
        <x:v>ABT-012</x:v>
      </x:c>
      <x:c r="B73" s="13" t="str">
        <x:v>About NEXS</x:v>
      </x:c>
      <x:c r="C73" s="13" t="str">
        <x:v>Why Choose NEXS</x:v>
      </x:c>
      <x:c r="D73" s="13" t="str">
        <x:v>Dealer/Installer</x:v>
      </x:c>
      <x:c r="E73" s="13" t="str">
        <x:v>Support for dealers/installers</x:v>
      </x:c>
      <x:c r="F73" s="13" t="str">
        <x:v>about-dealer-support.webp</x:v>
      </x:c>
      <x:c r="G73" s="13" t="str">
        <x:v>P1</x:v>
      </x:c>
      <x:c r="H73" s="13" t="str">
        <x:v>Real photo</x:v>
      </x:c>
      <x:c r="I73" s="13" t="str">
        <x:v>16:9</x:v>
      </x:c>
      <x:c r="J73" s="13" t="str">
        <x:v>1200 x 700</x:v>
      </x:c>
      <x:c r="K73" s="13" t="str">
        <x:v>Training / consultation</x:v>
      </x:c>
      <x:c r="L73" s="13" t="str">
        <x:v>4:3 crop</x:v>
      </x:c>
      <x:c r="M73" s="13" t="str">
        <x:v>Trainer or installer support scene; clean workshop or desk with samples.</x:v>
      </x:c>
      <x:c r="N73" s="13" t="str">
        <x:v>No private documents visible.</x:v>
      </x:c>
      <x:c r="O73" s="13" t="str">
        <x:v>Casual selfie/team photo style.</x:v>
      </x:c>
      <x:c r="P73" s="13" t="str">
        <x:v>Professional dealer and installer support session for NEXS.</x:v>
      </x:c>
      <x:c r="Q73" s="13" t="str">
        <x:v>To produce</x:v>
      </x:c>
      <x:c r="R73" s="13"/>
      <x:c r="S73" s="13"/>
      <x:c r="T73" s="13" t="str">
        <x:v>About NEXS</x:v>
      </x:c>
    </x:row>
    <x:row r="74">
      <x:c r="A74" s="13" t="str">
        <x:v>ABT-013</x:v>
      </x:c>
      <x:c r="B74" s="13" t="str">
        <x:v>About NEXS</x:v>
      </x:c>
      <x:c r="C74" s="13" t="str">
        <x:v>For Dealers</x:v>
      </x:c>
      <x:c r="D74" s="13" t="str">
        <x:v>Dealer/Installer</x:v>
      </x:c>
      <x:c r="E74" s="13" t="str">
        <x:v>Dealer application showroom</x:v>
      </x:c>
      <x:c r="F74" s="13" t="str">
        <x:v>about-dealer-showroom-car.webp</x:v>
      </x:c>
      <x:c r="G74" s="13" t="str">
        <x:v>P1</x:v>
      </x:c>
      <x:c r="H74" s="13" t="str">
        <x:v>AI render</x:v>
      </x:c>
      <x:c r="I74" s="13" t="str">
        <x:v>16:9</x:v>
      </x:c>
      <x:c r="J74" s="13" t="str">
        <x:v>1400 x 800</x:v>
      </x:c>
      <x:c r="K74" s="13" t="str">
        <x:v>Car in showroom</x:v>
      </x:c>
      <x:c r="L74" s="13" t="str">
        <x:v>4:3 crop</x:v>
      </x:c>
      <x:c r="M74" s="13" t="str">
        <x:v>Premium NEXS showroom with silver car; consistent with homepage dealer visual.</x:v>
      </x:c>
      <x:c r="N74" s="13" t="str">
        <x:v>Can become real showroom photo later.</x:v>
      </x:c>
      <x:c r="O74" s="13" t="str">
        <x:v>Dark messy garage.</x:v>
      </x:c>
      <x:c r="P74" s="13" t="str">
        <x:v>NEXS dealer showroom with premium vehicle display.</x:v>
      </x:c>
      <x:c r="Q74" s="13" t="str">
        <x:v>To produce</x:v>
      </x:c>
      <x:c r="R74" s="13"/>
      <x:c r="S74" s="13"/>
      <x:c r="T74" s="13" t="str">
        <x:v>About NEXS</x:v>
      </x:c>
    </x:row>
    <x:row r="75">
      <x:c r="A75" s="13" t="str">
        <x:v>ABT-014</x:v>
      </x:c>
      <x:c r="B75" s="13" t="str">
        <x:v>About NEXS</x:v>
      </x:c>
      <x:c r="C75" s="13" t="str">
        <x:v>Contact</x:v>
      </x:c>
      <x:c r="D75" s="13" t="str">
        <x:v>Contact</x:v>
      </x:c>
      <x:c r="E75" s="13" t="str">
        <x:v>Contact map background</x:v>
      </x:c>
      <x:c r="F75" s="13" t="str">
        <x:v>about-contact-map-bg.webp</x:v>
      </x:c>
      <x:c r="G75" s="13" t="str">
        <x:v>P2</x:v>
      </x:c>
      <x:c r="H75" s="13" t="str">
        <x:v>Stock placeholder</x:v>
      </x:c>
      <x:c r="I75" s="13" t="str">
        <x:v>16:9</x:v>
      </x:c>
      <x:c r="J75" s="13" t="str">
        <x:v>1200 x 700</x:v>
      </x:c>
      <x:c r="K75" s="13" t="str">
        <x:v>Map style with pin</x:v>
      </x:c>
      <x:c r="L75" s="13" t="str">
        <x:v>Square crop</x:v>
      </x:c>
      <x:c r="M75" s="13" t="str">
        <x:v>Minimal grayscale map illustration with pin; no exact private data unless confirmed.</x:v>
      </x:c>
      <x:c r="N75" s="13" t="str">
        <x:v>Use actual service area later if needed.</x:v>
      </x:c>
      <x:c r="O75" s="13" t="str">
        <x:v>Google map screenshot without license/permission.</x:v>
      </x:c>
      <x:c r="P75" s="13" t="str">
        <x:v>Minimal map background for NEXS contact section.</x:v>
      </x:c>
      <x:c r="Q75" s="13" t="str">
        <x:v>To produce</x:v>
      </x:c>
      <x:c r="R75" s="13"/>
      <x:c r="S75" s="13"/>
      <x:c r="T75" s="13" t="str">
        <x:v>About NEXS</x:v>
      </x:c>
    </x:row>
    <x:row r="76">
      <x:c r="A76" s="13" t="str">
        <x:v>TECH-001</x:v>
      </x:c>
      <x:c r="B76" s="13" t="str">
        <x:v>Technology</x:v>
      </x:c>
      <x:c r="C76" s="13" t="str">
        <x:v>Hero</x:v>
      </x:c>
      <x:c r="D76" s="13" t="str">
        <x:v>Technology</x:v>
      </x:c>
      <x:c r="E76" s="13" t="str">
        <x:v>Technology hero layer stack</x:v>
      </x:c>
      <x:c r="F76" s="13" t="str">
        <x:v>technology-hero-layer-stack.webp</x:v>
      </x:c>
      <x:c r="G76" s="13" t="str">
        <x:v>P0</x:v>
      </x:c>
      <x:c r="H76" s="13" t="str">
        <x:v>AI render (Launch v1)</x:v>
      </x:c>
      <x:c r="I76" s="13" t="str">
        <x:v>16:9</x:v>
      </x:c>
      <x:c r="J76" s="13" t="str">
        <x:v>2880 x 1400</x:v>
      </x:c>
      <x:c r="K76" s="13" t="str">
        <x:v>Layer stack center/right</x:v>
      </x:c>
      <x:c r="L76" s="13" t="str">
        <x:v>4:5 crop</x:v>
      </x:c>
      <x:c r="M76" s="13" t="str">
        <x:v>Large translucent film layer stack in white studio; premium engineering visual.</x:v>
      </x:c>
      <x:c r="N76" s="13" t="str">
        <x:v>Can reuse HOME-012 with alternate crop. Launch v1 direction: AI render approved by owner; generate in Apple-style white/silver premium theme with restrained red accents.</x:v>
      </x:c>
      <x:c r="O76" s="13" t="str">
        <x:v>Dark sci-fi render. QA for AI artifacts, distorted logos, fake badges, wrong text, wrong proportions, inconsistent reflections.</x:v>
      </x:c>
      <x:c r="P76" s="13" t="str">
        <x:v>Hero image of multi-layer automotive film technology.</x:v>
      </x:c>
      <x:c r="Q76" s="13" t="str">
        <x:v>AI render queued</x:v>
      </x:c>
      <x:c r="R76" s="13" t="str">
        <x:v>Designer / AI Render</x:v>
      </x:c>
      <x:c r="S76" s="13"/>
      <x:c r="T76" s="13" t="str">
        <x:v>Technology page</x:v>
      </x:c>
    </x:row>
    <x:row r="77">
      <x:c r="A77" s="13" t="str">
        <x:v>TECH-002</x:v>
      </x:c>
      <x:c r="B77" s="13" t="str">
        <x:v>Technology</x:v>
      </x:c>
      <x:c r="C77" s="13" t="str">
        <x:v>Film Architecture</x:v>
      </x:c>
      <x:c r="D77" s="13" t="str">
        <x:v>Technology</x:v>
      </x:c>
      <x:c r="E77" s="13" t="str">
        <x:v>Film cross-section detail</x:v>
      </x:c>
      <x:c r="F77" s="13" t="str">
        <x:v>technology-film-cross-section.webp</x:v>
      </x:c>
      <x:c r="G77" s="13" t="str">
        <x:v>P0</x:v>
      </x:c>
      <x:c r="H77" s="13" t="str">
        <x:v>AI render (Launch v1)</x:v>
      </x:c>
      <x:c r="I77" s="13" t="str">
        <x:v>3:2</x:v>
      </x:c>
      <x:c r="J77" s="13" t="str">
        <x:v>1600 x 1000</x:v>
      </x:c>
      <x:c r="K77" s="13" t="str">
        <x:v>Cross-section layers</x:v>
      </x:c>
      <x:c r="L77" s="13" t="str">
        <x:v>Square crop</x:v>
      </x:c>
      <x:c r="M77" s="13" t="str">
        <x:v>Close cross-section: top coat, TPU, adhesive, release liner; no baked labels.</x:v>
      </x:c>
      <x:c r="N77" s="13" t="str">
        <x:v>UI should add labels separately. Launch v1 direction: AI render approved by owner; generate in Apple-style white/silver premium theme with restrained red accents.</x:v>
      </x:c>
      <x:c r="O77" s="13" t="str">
        <x:v>Inaccurate fake microscopic diagram. QA for AI artifacts, distorted logos, fake badges, wrong text, wrong proportions, inconsistent reflections.</x:v>
      </x:c>
      <x:c r="P77" s="13" t="str">
        <x:v>Cross-section of layered automotive film technology.</x:v>
      </x:c>
      <x:c r="Q77" s="13" t="str">
        <x:v>AI render queued</x:v>
      </x:c>
      <x:c r="R77" s="13" t="str">
        <x:v>Designer / AI Render</x:v>
      </x:c>
      <x:c r="S77" s="13"/>
      <x:c r="T77" s="13" t="str">
        <x:v>Technology page</x:v>
      </x:c>
    </x:row>
    <x:row r="78">
      <x:c r="A78" s="13" t="str">
        <x:v>TECH-003</x:v>
      </x:c>
      <x:c r="B78" s="13" t="str">
        <x:v>Technology</x:v>
      </x:c>
      <x:c r="C78" s="13" t="str">
        <x:v>Self-healing</x:v>
      </x:c>
      <x:c r="D78" s="13" t="str">
        <x:v>Technology</x:v>
      </x:c>
      <x:c r="E78" s="13" t="str">
        <x:v>Self-healing demonstration</x:v>
      </x:c>
      <x:c r="F78" s="13" t="str">
        <x:v>technology-self-healing-before-after.webp</x:v>
      </x:c>
      <x:c r="G78" s="13" t="str">
        <x:v>P1</x:v>
      </x:c>
      <x:c r="H78" s="13" t="str">
        <x:v>Real photo</x:v>
      </x:c>
      <x:c r="I78" s="13" t="str">
        <x:v>16:9</x:v>
      </x:c>
      <x:c r="J78" s="13" t="str">
        <x:v>1400 x 900</x:v>
      </x:c>
      <x:c r="K78" s="13" t="str">
        <x:v>Before/after split or sequence</x:v>
      </x:c>
      <x:c r="L78" s="13" t="str">
        <x:v>4:3 crop</x:v>
      </x:c>
      <x:c r="M78" s="13" t="str">
        <x:v>Premium controlled demo of fine swirls disappearing; subtle and credible.</x:v>
      </x:c>
      <x:c r="N78" s="13" t="str">
        <x:v>Real test photo/video still preferred.</x:v>
      </x:c>
      <x:c r="O78" s="13" t="str">
        <x:v>Deep scratches, unrealistic instant repair visual.</x:v>
      </x:c>
      <x:c r="P78" s="13" t="str">
        <x:v>Self-healing film demonstration showing fine swirl marks reduced.</x:v>
      </x:c>
      <x:c r="Q78" s="13" t="str">
        <x:v>To produce</x:v>
      </x:c>
      <x:c r="R78" s="13"/>
      <x:c r="S78" s="13"/>
      <x:c r="T78" s="13" t="str">
        <x:v>Technology page</x:v>
      </x:c>
    </x:row>
    <x:row r="79">
      <x:c r="A79" s="13" t="str">
        <x:v>TECH-004</x:v>
      </x:c>
      <x:c r="B79" s="13" t="str">
        <x:v>Technology</x:v>
      </x:c>
      <x:c r="C79" s="13" t="str">
        <x:v>Hydrophobic</x:v>
      </x:c>
      <x:c r="D79" s="13" t="str">
        <x:v>Technology</x:v>
      </x:c>
      <x:c r="E79" s="13" t="str">
        <x:v>Hydrophobic angle macro</x:v>
      </x:c>
      <x:c r="F79" s="13" t="str">
        <x:v>technology-hydrophobic-angle.webp</x:v>
      </x:c>
      <x:c r="G79" s="13" t="str">
        <x:v>P1</x:v>
      </x:c>
      <x:c r="H79" s="13" t="str">
        <x:v>Real photo</x:v>
      </x:c>
      <x:c r="I79" s="13" t="str">
        <x:v>4:3</x:v>
      </x:c>
      <x:c r="J79" s="13" t="str">
        <x:v>1000 x 750</x:v>
      </x:c>
      <x:c r="K79" s="13" t="str">
        <x:v>Water droplet angle</x:v>
      </x:c>
      <x:c r="L79" s="13" t="str">
        <x:v>Square crop</x:v>
      </x:c>
      <x:c r="M79" s="13" t="str">
        <x:v>Macro of water droplet on protected surface with crisp highlight.</x:v>
      </x:c>
      <x:c r="N79" s="13" t="str">
        <x:v>Real macro preferred.</x:v>
      </x:c>
      <x:c r="O79" s="13" t="str">
        <x:v>Dirty surface or messy background.</x:v>
      </x:c>
      <x:c r="P79" s="13" t="str">
        <x:v>Water droplet on hydrophobic automotive film surface.</x:v>
      </x:c>
      <x:c r="Q79" s="13" t="str">
        <x:v>To produce</x:v>
      </x:c>
      <x:c r="R79" s="13"/>
      <x:c r="S79" s="13"/>
      <x:c r="T79" s="13" t="str">
        <x:v>Technology page</x:v>
      </x:c>
    </x:row>
    <x:row r="80">
      <x:c r="A80" s="13" t="str">
        <x:v>TECH-005</x:v>
      </x:c>
      <x:c r="B80" s="13" t="str">
        <x:v>Technology</x:v>
      </x:c>
      <x:c r="C80" s="13" t="str">
        <x:v>TPU performance</x:v>
      </x:c>
      <x:c r="D80" s="13" t="str">
        <x:v>Technology</x:v>
      </x:c>
      <x:c r="E80" s="13" t="str">
        <x:v>TPU material detail</x:v>
      </x:c>
      <x:c r="F80" s="13" t="str">
        <x:v>technology-tpu-material.webp</x:v>
      </x:c>
      <x:c r="G80" s="13" t="str">
        <x:v>P1</x:v>
      </x:c>
      <x:c r="H80" s="13" t="str">
        <x:v>AI render</x:v>
      </x:c>
      <x:c r="I80" s="13" t="str">
        <x:v>4:3</x:v>
      </x:c>
      <x:c r="J80" s="13" t="str">
        <x:v>1000 x 750</x:v>
      </x:c>
      <x:c r="K80" s="13" t="str">
        <x:v>Material macro</x:v>
      </x:c>
      <x:c r="L80" s="13" t="str">
        <x:v>Square crop</x:v>
      </x:c>
      <x:c r="M80" s="13" t="str">
        <x:v>Premium TPU roll/material close-up, transparent and clean.</x:v>
      </x:c>
      <x:c r="N80" s="13" t="str">
        <x:v>No supplier branding.</x:v>
      </x:c>
      <x:c r="O80" s="13" t="str">
        <x:v>Supplier/factory names in image.</x:v>
      </x:c>
      <x:c r="P80" s="13" t="str">
        <x:v>Close-up of premium TPU material used in automotive film.</x:v>
      </x:c>
      <x:c r="Q80" s="13" t="str">
        <x:v>To produce</x:v>
      </x:c>
      <x:c r="R80" s="13"/>
      <x:c r="S80" s="13"/>
      <x:c r="T80" s="13" t="str">
        <x:v>Technology page</x:v>
      </x:c>
    </x:row>
    <x:row r="81">
      <x:c r="A81" s="13" t="str">
        <x:v>TECH-006</x:v>
      </x:c>
      <x:c r="B81" s="13" t="str">
        <x:v>Technology</x:v>
      </x:c>
      <x:c r="C81" s="13" t="str">
        <x:v>Adhesive</x:v>
      </x:c>
      <x:c r="D81" s="13" t="str">
        <x:v>Technology</x:v>
      </x:c>
      <x:c r="E81" s="13" t="str">
        <x:v>Adhesive peel/install close-up</x:v>
      </x:c>
      <x:c r="F81" s="13" t="str">
        <x:v>technology-adhesive-peel.webp</x:v>
      </x:c>
      <x:c r="G81" s="13" t="str">
        <x:v>P1</x:v>
      </x:c>
      <x:c r="H81" s="13" t="str">
        <x:v>Real photo</x:v>
      </x:c>
      <x:c r="I81" s="13" t="str">
        <x:v>4:3</x:v>
      </x:c>
      <x:c r="J81" s="13" t="str">
        <x:v>1000 x 750</x:v>
      </x:c>
      <x:c r="K81" s="13" t="str">
        <x:v>Peeling film corner</x:v>
      </x:c>
      <x:c r="L81" s="13" t="str">
        <x:v>Square crop</x:v>
      </x:c>
      <x:c r="M81" s="13" t="str">
        <x:v>Clean peel detail showing adhesive layer and repositioning.</x:v>
      </x:c>
      <x:c r="N81" s="13" t="str">
        <x:v>Installer hands optional.</x:v>
      </x:c>
      <x:c r="O81" s="13" t="str">
        <x:v>Dust/bubbles/wrinkles.</x:v>
      </x:c>
      <x:c r="P81" s="13" t="str">
        <x:v>Close-up of adhesive film being positioned on a car panel.</x:v>
      </x:c>
      <x:c r="Q81" s="13" t="str">
        <x:v>To produce</x:v>
      </x:c>
      <x:c r="R81" s="13"/>
      <x:c r="S81" s="13"/>
      <x:c r="T81" s="13" t="str">
        <x:v>Technology page</x:v>
      </x:c>
    </x:row>
    <x:row r="82">
      <x:c r="A82" s="13" t="str">
        <x:v>TECH-007</x:v>
      </x:c>
      <x:c r="B82" s="13" t="str">
        <x:v>Technology</x:v>
      </x:c>
      <x:c r="C82" s="13" t="str">
        <x:v>Release liner</x:v>
      </x:c>
      <x:c r="D82" s="13" t="str">
        <x:v>Technology</x:v>
      </x:c>
      <x:c r="E82" s="13" t="str">
        <x:v>Release liner detail</x:v>
      </x:c>
      <x:c r="F82" s="13" t="str">
        <x:v>technology-release-liner.webp</x:v>
      </x:c>
      <x:c r="G82" s="13" t="str">
        <x:v>P2</x:v>
      </x:c>
      <x:c r="H82" s="13" t="str">
        <x:v>AI render</x:v>
      </x:c>
      <x:c r="I82" s="13" t="str">
        <x:v>4:3</x:v>
      </x:c>
      <x:c r="J82" s="13" t="str">
        <x:v>1000 x 750</x:v>
      </x:c>
      <x:c r="K82" s="13" t="str">
        <x:v>Liner peel detail</x:v>
      </x:c>
      <x:c r="L82" s="13" t="str">
        <x:v>Square crop</x:v>
      </x:c>
      <x:c r="M82" s="13" t="str">
        <x:v>Subtle detail of release liner separation; clean technical look.</x:v>
      </x:c>
      <x:c r="N82" s="13" t="str">
        <x:v>Use for feature card.</x:v>
      </x:c>
      <x:c r="O82" s="13" t="str">
        <x:v>Generic paper roll look.</x:v>
      </x:c>
      <x:c r="P82" s="13" t="str">
        <x:v>Release liner detail for premium automotive film installation.</x:v>
      </x:c>
      <x:c r="Q82" s="13" t="str">
        <x:v>To produce</x:v>
      </x:c>
      <x:c r="R82" s="13"/>
      <x:c r="S82" s="13"/>
      <x:c r="T82" s="13" t="str">
        <x:v>Technology page</x:v>
      </x:c>
    </x:row>
    <x:row r="83">
      <x:c r="A83" s="13" t="str">
        <x:v>TECH-008</x:v>
      </x:c>
      <x:c r="B83" s="13" t="str">
        <x:v>Technology</x:v>
      </x:c>
      <x:c r="C83" s="13" t="str">
        <x:v>Precision fit</x:v>
      </x:c>
      <x:c r="D83" s="13" t="str">
        <x:v>Technology</x:v>
      </x:c>
      <x:c r="E83" s="13" t="str">
        <x:v>Precision cut / pattern visual</x:v>
      </x:c>
      <x:c r="F83" s="13" t="str">
        <x:v>technology-precision-cut.webp</x:v>
      </x:c>
      <x:c r="G83" s="13" t="str">
        <x:v>P2</x:v>
      </x:c>
      <x:c r="H83" s="13" t="str">
        <x:v>Real photo</x:v>
      </x:c>
      <x:c r="I83" s="13" t="str">
        <x:v>16:9</x:v>
      </x:c>
      <x:c r="J83" s="13" t="str">
        <x:v>1200 x 700</x:v>
      </x:c>
      <x:c r="K83" s="13" t="str">
        <x:v>Plotter/cut pattern</x:v>
      </x:c>
      <x:c r="L83" s="13" t="str">
        <x:v>4:3 crop</x:v>
      </x:c>
      <x:c r="M83" s="13" t="str">
        <x:v>Clean plotter or digital pattern cutting visual; no software UI leakage.</x:v>
      </x:c>
      <x:c r="N83" s="13" t="str">
        <x:v>If using software screen, blur sensitive data.</x:v>
      </x:c>
      <x:c r="O83" s="13" t="str">
        <x:v>Screens with proprietary/private data.</x:v>
      </x:c>
      <x:c r="P83" s="13" t="str">
        <x:v>Precision cut pattern for automotive film installation.</x:v>
      </x:c>
      <x:c r="Q83" s="13" t="str">
        <x:v>To produce</x:v>
      </x:c>
      <x:c r="R83" s="13"/>
      <x:c r="S83" s="13"/>
      <x:c r="T83" s="13" t="str">
        <x:v>Technology page</x:v>
      </x:c>
    </x:row>
    <x:row r="84">
      <x:c r="A84" s="13" t="str">
        <x:v>CMP-001</x:v>
      </x:c>
      <x:c r="B84" s="13" t="str">
        <x:v>Compare</x:v>
      </x:c>
      <x:c r="C84" s="13" t="str">
        <x:v>Hero</x:v>
      </x:c>
      <x:c r="D84" s="13" t="str">
        <x:v>Global</x:v>
      </x:c>
      <x:c r="E84" s="13" t="str">
        <x:v>Compare product lineup hero</x:v>
      </x:c>
      <x:c r="F84" s="13" t="str">
        <x:v>compare-product-lineup-hero.webp</x:v>
      </x:c>
      <x:c r="G84" s="13" t="str">
        <x:v>P1</x:v>
      </x:c>
      <x:c r="H84" s="13" t="str">
        <x:v>3D render</x:v>
      </x:c>
      <x:c r="I84" s="13" t="str">
        <x:v>16:9</x:v>
      </x:c>
      <x:c r="J84" s="13" t="str">
        <x:v>2400 x 1200</x:v>
      </x:c>
      <x:c r="K84" s="13" t="str">
        <x:v>Three product groups</x:v>
      </x:c>
      <x:c r="L84" s="13" t="str">
        <x:v>4:5 crop</x:v>
      </x:c>
      <x:c r="M84" s="13" t="str">
        <x:v>Clear, Matte, Color film rolls arranged in premium system architecture.</x:v>
      </x:c>
      <x:c r="N84" s="13" t="str">
        <x:v>No prices, no internal spec numbers.</x:v>
      </x:c>
      <x:c r="O84" s="13" t="str">
        <x:v>Crowded product labels.</x:v>
      </x:c>
      <x:c r="P84" s="13" t="str">
        <x:v>NEXS film lineup arranged for product comparison.</x:v>
      </x:c>
      <x:c r="Q84" s="13" t="str">
        <x:v>To produce</x:v>
      </x:c>
      <x:c r="R84" s="13"/>
      <x:c r="S84" s="13"/>
      <x:c r="T84" s="13" t="str">
        <x:v>Compare</x:v>
      </x:c>
    </x:row>
    <x:row r="85">
      <x:c r="A85" s="13" t="str">
        <x:v>CMP-002</x:v>
      </x:c>
      <x:c r="B85" s="13" t="str">
        <x:v>Compare</x:v>
      </x:c>
      <x:c r="C85" s="13" t="str">
        <x:v>Table thumbnails</x:v>
      </x:c>
      <x:c r="D85" s="13" t="str">
        <x:v>Global</x:v>
      </x:c>
      <x:c r="E85" s="13" t="str">
        <x:v>Product table thumbnails</x:v>
      </x:c>
      <x:c r="F85" s="13" t="str">
        <x:v>compare-product-thumbnails.webp</x:v>
      </x:c>
      <x:c r="G85" s="13" t="str">
        <x:v>P2</x:v>
      </x:c>
      <x:c r="H85" s="13" t="str">
        <x:v>3D render</x:v>
      </x:c>
      <x:c r="I85" s="13" t="str">
        <x:v>4:3</x:v>
      </x:c>
      <x:c r="J85" s="13" t="str">
        <x:v>1200 x 900</x:v>
      </x:c>
      <x:c r="K85" s="13" t="str">
        <x:v>Small roll thumbnails</x:v>
      </x:c>
      <x:c r="L85" s="13" t="str">
        <x:v>Square crop</x:v>
      </x:c>
      <x:c r="M85" s="13" t="str">
        <x:v>Consistent film roll thumbnails for 12 options.</x:v>
      </x:c>
      <x:c r="N85" s="13" t="str">
        <x:v>Use in comparison table if needed.</x:v>
      </x:c>
      <x:c r="O85" s="13" t="str">
        <x:v>Mixed inconsistent lighting.</x:v>
      </x:c>
      <x:c r="P85" s="13" t="str">
        <x:v>Small thumbnails for NEXS product comparison table.</x:v>
      </x:c>
      <x:c r="Q85" s="13" t="str">
        <x:v>To produce</x:v>
      </x:c>
      <x:c r="R85" s="13"/>
      <x:c r="S85" s="13"/>
      <x:c r="T85" s="13" t="str">
        <x:v>Compare</x:v>
      </x:c>
    </x:row>
    <x:row r="86">
      <x:c r="A86" s="13" t="str">
        <x:v>DLR-001</x:v>
      </x:c>
      <x:c r="B86" s="13" t="str">
        <x:v>Dealer</x:v>
      </x:c>
      <x:c r="C86" s="13" t="str">
        <x:v>Hero</x:v>
      </x:c>
      <x:c r="D86" s="13" t="str">
        <x:v>Dealer/Installer</x:v>
      </x:c>
      <x:c r="E86" s="13" t="str">
        <x:v>Dealer hero showroom</x:v>
      </x:c>
      <x:c r="F86" s="13" t="str">
        <x:v>dealer-hero-showroom.webp</x:v>
      </x:c>
      <x:c r="G86" s="13" t="str">
        <x:v>P0</x:v>
      </x:c>
      <x:c r="H86" s="13" t="str">
        <x:v>AI render (Launch v1)</x:v>
      </x:c>
      <x:c r="I86" s="13" t="str">
        <x:v>16:9</x:v>
      </x:c>
      <x:c r="J86" s="13" t="str">
        <x:v>2880 x 1400</x:v>
      </x:c>
      <x:c r="K86" s="13" t="str">
        <x:v>Showroom with car and NEXS wall</x:v>
      </x:c>
      <x:c r="L86" s="13" t="str">
        <x:v>4:5 crop</x:v>
      </x:c>
      <x:c r="M86" s="13" t="str">
        <x:v>Premium white/gray workshop, car, NEXS signage, clean floor, high-end lighting.</x:v>
      </x:c>
      <x:c r="N86" s="13" t="str">
        <x:v>Real showroom or AI placeholder until photo shoot. Launch v1 direction: AI render approved by owner; generate in Apple-style white/silver premium theme with restrained red accents.</x:v>
      </x:c>
      <x:c r="O86" s="13" t="str">
        <x:v>Messy or dark garage. QA for AI artifacts, distorted logos, fake badges, wrong text, wrong proportions, inconsistent reflections.</x:v>
      </x:c>
      <x:c r="P86" s="13" t="str">
        <x:v>Premium NEXS dealer showroom hero image.</x:v>
      </x:c>
      <x:c r="Q86" s="13" t="str">
        <x:v>AI render queued</x:v>
      </x:c>
      <x:c r="R86" s="13" t="str">
        <x:v>Designer / AI Render</x:v>
      </x:c>
      <x:c r="S86" s="13"/>
      <x:c r="T86" s="13" t="str">
        <x:v>Dealer</x:v>
      </x:c>
    </x:row>
    <x:row r="87">
      <x:c r="A87" s="13" t="str">
        <x:v>DLR-002</x:v>
      </x:c>
      <x:c r="B87" s="13" t="str">
        <x:v>Dealer</x:v>
      </x:c>
      <x:c r="C87" s="13" t="str">
        <x:v>Training</x:v>
      </x:c>
      <x:c r="D87" s="13" t="str">
        <x:v>Dealer/Installer</x:v>
      </x:c>
      <x:c r="E87" s="13" t="str">
        <x:v>Installer training session</x:v>
      </x:c>
      <x:c r="F87" s="13" t="str">
        <x:v>dealer-training-session.webp</x:v>
      </x:c>
      <x:c r="G87" s="13" t="str">
        <x:v>P1</x:v>
      </x:c>
      <x:c r="H87" s="13" t="str">
        <x:v>Real photo</x:v>
      </x:c>
      <x:c r="I87" s="13" t="str">
        <x:v>16:9</x:v>
      </x:c>
      <x:c r="J87" s="13" t="str">
        <x:v>1400 x 900</x:v>
      </x:c>
      <x:c r="K87" s="13" t="str">
        <x:v>Trainer/hands/workshop</x:v>
      </x:c>
      <x:c r="L87" s="13" t="str">
        <x:v>4:3 crop</x:v>
      </x:c>
      <x:c r="M87" s="13" t="str">
        <x:v>Training scene with film application; professional and organized.</x:v>
      </x:c>
      <x:c r="N87" s="13" t="str">
        <x:v>Use real training if possible.</x:v>
      </x:c>
      <x:c r="O87" s="13" t="str">
        <x:v>Faces without permission, messy background.</x:v>
      </x:c>
      <x:c r="P87" s="13" t="str">
        <x:v>Professional NEXS installer training session.</x:v>
      </x:c>
      <x:c r="Q87" s="13" t="str">
        <x:v>To produce</x:v>
      </x:c>
      <x:c r="R87" s="13"/>
      <x:c r="S87" s="13"/>
      <x:c r="T87" s="13" t="str">
        <x:v>Dealer</x:v>
      </x:c>
    </x:row>
    <x:row r="88">
      <x:c r="A88" s="13" t="str">
        <x:v>DLR-003</x:v>
      </x:c>
      <x:c r="B88" s="13" t="str">
        <x:v>Dealer</x:v>
      </x:c>
      <x:c r="C88" s="13" t="str">
        <x:v>Resources</x:v>
      </x:c>
      <x:c r="D88" s="13" t="str">
        <x:v>Dealer/Installer</x:v>
      </x:c>
      <x:c r="E88" s="13" t="str">
        <x:v>Sample book / product display</x:v>
      </x:c>
      <x:c r="F88" s="13" t="str">
        <x:v>dealer-sample-book-display.webp</x:v>
      </x:c>
      <x:c r="G88" s="13" t="str">
        <x:v>P1</x:v>
      </x:c>
      <x:c r="H88" s="13" t="str">
        <x:v>Real photo</x:v>
      </x:c>
      <x:c r="I88" s="13" t="str">
        <x:v>16:9</x:v>
      </x:c>
      <x:c r="J88" s="13" t="str">
        <x:v>1400 x 900</x:v>
      </x:c>
      <x:c r="K88" s="13" t="str">
        <x:v>Sample book and swatches</x:v>
      </x:c>
      <x:c r="L88" s="13" t="str">
        <x:v>4:3 crop</x:v>
      </x:c>
      <x:c r="M88" s="13" t="str">
        <x:v>Clean product swatch book or dealer material display.</x:v>
      </x:c>
      <x:c r="N88" s="13" t="str">
        <x:v>Shows sales-ready lineup.</x:v>
      </x:c>
      <x:c r="O88" s="13" t="str">
        <x:v>Price sheets visible.</x:v>
      </x:c>
      <x:c r="P88" s="13" t="str">
        <x:v>NEXS product sample book and film swatches for dealers.</x:v>
      </x:c>
      <x:c r="Q88" s="13" t="str">
        <x:v>To produce</x:v>
      </x:c>
      <x:c r="R88" s="13"/>
      <x:c r="S88" s="13"/>
      <x:c r="T88" s="13" t="str">
        <x:v>Dealer</x:v>
      </x:c>
    </x:row>
    <x:row r="89">
      <x:c r="A89" s="13" t="str">
        <x:v>DLR-004</x:v>
      </x:c>
      <x:c r="B89" s="13" t="str">
        <x:v>Dealer</x:v>
      </x:c>
      <x:c r="C89" s="13" t="str">
        <x:v>Marketing support</x:v>
      </x:c>
      <x:c r="D89" s="13" t="str">
        <x:v>Dealer/Installer</x:v>
      </x:c>
      <x:c r="E89" s="13" t="str">
        <x:v>Marketing materials</x:v>
      </x:c>
      <x:c r="F89" s="13" t="str">
        <x:v>dealer-marketing-materials.webp</x:v>
      </x:c>
      <x:c r="G89" s="13" t="str">
        <x:v>P1</x:v>
      </x:c>
      <x:c r="H89" s="13" t="str">
        <x:v>AI render</x:v>
      </x:c>
      <x:c r="I89" s="13" t="str">
        <x:v>16:9</x:v>
      </x:c>
      <x:c r="J89" s="13" t="str">
        <x:v>1400 x 900</x:v>
      </x:c>
      <x:c r="K89" s="13" t="str">
        <x:v>Brochure/social assets mockup</x:v>
      </x:c>
      <x:c r="L89" s="13" t="str">
        <x:v>4:3 crop</x:v>
      </x:c>
      <x:c r="M89" s="13" t="str">
        <x:v>Premium brand material mockups; no real prices; no fake campaign copy beyond approved phrases.</x:v>
      </x:c>
      <x:c r="N89" s="13" t="str">
        <x:v>Use clean templates.</x:v>
      </x:c>
      <x:c r="O89" s="13" t="str">
        <x:v>Internal price lists or supplier info.</x:v>
      </x:c>
      <x:c r="P89" s="13" t="str">
        <x:v>NEXS marketing support materials for professional dealers.</x:v>
      </x:c>
      <x:c r="Q89" s="13" t="str">
        <x:v>To produce</x:v>
      </x:c>
      <x:c r="R89" s="13"/>
      <x:c r="S89" s="13"/>
      <x:c r="T89" s="13" t="str">
        <x:v>Dealer</x:v>
      </x:c>
    </x:row>
    <x:row r="90">
      <x:c r="A90" s="13" t="str">
        <x:v>DLR-005</x:v>
      </x:c>
      <x:c r="B90" s="13" t="str">
        <x:v>Dealer</x:v>
      </x:c>
      <x:c r="C90" s="13" t="str">
        <x:v>After-sales support</x:v>
      </x:c>
      <x:c r="D90" s="13" t="str">
        <x:v>Dealer/Installer</x:v>
      </x:c>
      <x:c r="E90" s="13" t="str">
        <x:v>Support / after-sales visual</x:v>
      </x:c>
      <x:c r="F90" s="13" t="str">
        <x:v>dealer-after-sales-support.webp</x:v>
      </x:c>
      <x:c r="G90" s="13" t="str">
        <x:v>P2</x:v>
      </x:c>
      <x:c r="H90" s="13" t="str">
        <x:v>Vector icon</x:v>
      </x:c>
      <x:c r="I90" s="13" t="str">
        <x:v>1:1</x:v>
      </x:c>
      <x:c r="J90" s="13" t="str">
        <x:v>SVG</x:v>
      </x:c>
      <x:c r="K90" s="13" t="str">
        <x:v>N/A</x:v>
      </x:c>
      <x:c r="L90" s="13" t="str">
        <x:v>N/A</x:v>
      </x:c>
      <x:c r="M90" s="13" t="str">
        <x:v>Minimal support icon or subtle professional support scene.</x:v>
      </x:c>
      <x:c r="N90" s="13" t="str">
        <x:v>Can use icon instead of photo.</x:v>
      </x:c>
      <x:c r="O90" s="13" t="str">
        <x:v>Stock call center cliché.</x:v>
      </x:c>
      <x:c r="P90" s="13" t="str">
        <x:v>Icon representing after-sales support for NEXS dealers.</x:v>
      </x:c>
      <x:c r="Q90" s="13" t="str">
        <x:v>To produce</x:v>
      </x:c>
      <x:c r="R90" s="13"/>
      <x:c r="S90" s="13"/>
      <x:c r="T90" s="13" t="str">
        <x:v>Dealer</x:v>
      </x:c>
    </x:row>
    <x:row r="91">
      <x:c r="A91" s="13" t="str">
        <x:v>DLR-006</x:v>
      </x:c>
      <x:c r="B91" s="13" t="str">
        <x:v>Dealer</x:v>
      </x:c>
      <x:c r="C91" s="13" t="str">
        <x:v>Installer trust</x:v>
      </x:c>
      <x:c r="D91" s="13" t="str">
        <x:v>Dealer/Installer</x:v>
      </x:c>
      <x:c r="E91" s="13" t="str">
        <x:v>Installer close-up with NEXS uniform</x:v>
      </x:c>
      <x:c r="F91" s="13" t="str">
        <x:v>dealer-installer-nexs-uniform.webp</x:v>
      </x:c>
      <x:c r="G91" s="13" t="str">
        <x:v>P0</x:v>
      </x:c>
      <x:c r="H91" s="13" t="str">
        <x:v>AI render (Launch v1)</x:v>
      </x:c>
      <x:c r="I91" s="13" t="str">
        <x:v>16:9</x:v>
      </x:c>
      <x:c r="J91" s="13" t="str">
        <x:v>1400 x 900</x:v>
      </x:c>
      <x:c r="K91" s="13" t="str">
        <x:v>Installer back/side, film on car</x:v>
      </x:c>
      <x:c r="L91" s="13" t="str">
        <x:v>4:5 crop</x:v>
      </x:c>
      <x:c r="M91" s="13" t="str">
        <x:v>Technician applying film, NEXS shirt or apron, clean premium workspace.</x:v>
      </x:c>
      <x:c r="N91" s="13" t="str">
        <x:v>Real photo strongly recommended. Launch v1 direction: AI render approved by owner; generate in Apple-style white/silver premium theme with restrained red accents.</x:v>
      </x:c>
      <x:c r="O91" s="13" t="str">
        <x:v>Face without consent, wrinkles/bubbles in install. QA for AI artifacts, distorted logos, fake badges, wrong text, wrong proportions, inconsistent reflections.</x:v>
      </x:c>
      <x:c r="P91" s="13" t="str">
        <x:v>NEXS installer applying film in a professional workshop.</x:v>
      </x:c>
      <x:c r="Q91" s="13" t="str">
        <x:v>AI render queued</x:v>
      </x:c>
      <x:c r="R91" s="13" t="str">
        <x:v>Designer / AI Render</x:v>
      </x:c>
      <x:c r="S91" s="13"/>
      <x:c r="T91" s="13" t="str">
        <x:v>Dealer</x:v>
      </x:c>
    </x:row>
    <x:row r="92">
      <x:c r="A92" s="13" t="str">
        <x:v>CON-001</x:v>
      </x:c>
      <x:c r="B92" s="13" t="str">
        <x:v>Contact</x:v>
      </x:c>
      <x:c r="C92" s="13" t="str">
        <x:v>Hero / CTA</x:v>
      </x:c>
      <x:c r="D92" s="13" t="str">
        <x:v>Contact</x:v>
      </x:c>
      <x:c r="E92" s="13" t="str">
        <x:v>Contact showroom image</x:v>
      </x:c>
      <x:c r="F92" s="13" t="str">
        <x:v>contact-showroom.webp</x:v>
      </x:c>
      <x:c r="G92" s="13" t="str">
        <x:v>P2</x:v>
      </x:c>
      <x:c r="H92" s="13" t="str">
        <x:v>Real photo</x:v>
      </x:c>
      <x:c r="I92" s="13" t="str">
        <x:v>16:9</x:v>
      </x:c>
      <x:c r="J92" s="13" t="str">
        <x:v>1600 x 900</x:v>
      </x:c>
      <x:c r="K92" s="13" t="str">
        <x:v>Showroom or reception</x:v>
      </x:c>
      <x:c r="L92" s="13" t="str">
        <x:v>4:3 crop</x:v>
      </x:c>
      <x:c r="M92" s="13" t="str">
        <x:v>Clean premium contact/showroom scene.</x:v>
      </x:c>
      <x:c r="N92" s="13" t="str">
        <x:v>Can reuse dealer showroom with alternate crop.</x:v>
      </x:c>
      <x:c r="O92" s="13" t="str">
        <x:v>Cluttered office.</x:v>
      </x:c>
      <x:c r="P92" s="13" t="str">
        <x:v>NEXS showroom contact image for customer inquiries.</x:v>
      </x:c>
      <x:c r="Q92" s="13" t="str">
        <x:v>To produce</x:v>
      </x:c>
      <x:c r="R92" s="13"/>
      <x:c r="S92" s="13"/>
      <x:c r="T92" s="13" t="str">
        <x:v>Contact</x:v>
      </x:c>
    </x:row>
    <x:row r="93">
      <x:c r="A93" s="13" t="str">
        <x:v>CON-002</x:v>
      </x:c>
      <x:c r="B93" s="13" t="str">
        <x:v>Contact</x:v>
      </x:c>
      <x:c r="C93" s="13" t="str">
        <x:v>Map</x:v>
      </x:c>
      <x:c r="D93" s="13" t="str">
        <x:v>Contact</x:v>
      </x:c>
      <x:c r="E93" s="13" t="str">
        <x:v>Minimal map illustration</x:v>
      </x:c>
      <x:c r="F93" s="13" t="str">
        <x:v>contact-map-illustration.webp</x:v>
      </x:c>
      <x:c r="G93" s="13" t="str">
        <x:v>P2</x:v>
      </x:c>
      <x:c r="H93" s="13" t="str">
        <x:v>Stock placeholder</x:v>
      </x:c>
      <x:c r="I93" s="13" t="str">
        <x:v>16:9</x:v>
      </x:c>
      <x:c r="J93" s="13" t="str">
        <x:v>1200 x 700</x:v>
      </x:c>
      <x:c r="K93" s="13" t="str">
        <x:v>Map + pin</x:v>
      </x:c>
      <x:c r="L93" s="13" t="str">
        <x:v>Square crop</x:v>
      </x:c>
      <x:c r="M93" s="13" t="str">
        <x:v>Minimal grayscale map with red pin accent; no exact address unless confirmed.</x:v>
      </x:c>
      <x:c r="N93" s="13" t="str">
        <x:v>Can use design-generated map art.</x:v>
      </x:c>
      <x:c r="O93" s="13" t="str">
        <x:v>Raw Google Maps screenshot without license.</x:v>
      </x:c>
      <x:c r="P93" s="13" t="str">
        <x:v>Minimal map illustration showing NEXS contact location.</x:v>
      </x:c>
      <x:c r="Q93" s="13" t="str">
        <x:v>To produce</x:v>
      </x:c>
      <x:c r="R93" s="13"/>
      <x:c r="S93" s="13"/>
      <x:c r="T93" s="13" t="str">
        <x:v>Contact</x:v>
      </x:c>
    </x:row>
    <x:row r="94">
      <x:c r="A94" s="13" t="str">
        <x:v>CON-003</x:v>
      </x:c>
      <x:c r="B94" s="13" t="str">
        <x:v>Contact</x:v>
      </x:c>
      <x:c r="C94" s="13" t="str">
        <x:v>Contact icons</x:v>
      </x:c>
      <x:c r="D94" s="13" t="str">
        <x:v>Contact</x:v>
      </x:c>
      <x:c r="E94" s="13" t="str">
        <x:v>Call / email / LINE icon set</x:v>
      </x:c>
      <x:c r="F94" s="13" t="str">
        <x:v>contact-icon-set.svg</x:v>
      </x:c>
      <x:c r="G94" s="13" t="str">
        <x:v>P2</x:v>
      </x:c>
      <x:c r="H94" s="13" t="str">
        <x:v>Vector icon</x:v>
      </x:c>
      <x:c r="I94" s="13" t="str">
        <x:v>1:1</x:v>
      </x:c>
      <x:c r="J94" s="13" t="str">
        <x:v>SVG</x:v>
      </x:c>
      <x:c r="K94" s="13" t="str">
        <x:v>N/A</x:v>
      </x:c>
      <x:c r="L94" s="13" t="str">
        <x:v>N/A</x:v>
      </x:c>
      <x:c r="M94" s="13" t="str">
        <x:v>Line icons for phone, email, LINE, location; consistent with global icon set.</x:v>
      </x:c>
      <x:c r="N94" s="13" t="str">
        <x:v>Use in contact cards and footer.</x:v>
      </x:c>
      <x:c r="O94" s="13" t="str">
        <x:v>Mixed icon styles.</x:v>
      </x:c>
      <x:c r="P94" s="13" t="str">
        <x:v>Contact icon set for NEXS website.</x:v>
      </x:c>
      <x:c r="Q94" s="13" t="str">
        <x:v>To produce</x:v>
      </x:c>
      <x:c r="R94" s="13"/>
      <x:c r="S94" s="13"/>
      <x:c r="T94" s="13" t="str">
        <x:v>Contact</x:v>
      </x:c>
    </x:row>
  </x:sheetData>
  <x:conditionalFormatting sqref="G2:G94">
    <x:cfRule type="cellIs" dxfId="0" priority="1">
      <x:formula>"P0"</x:formula>
    </x:cfRule>
  </x:conditionalFormatting>
  <x:conditionalFormatting sqref="Q2:Q94">
    <x:cfRule type="cellIs" dxfId="1" priority="2">
      <x:formula>"Approved"</x:formula>
    </x:cfRule>
    <x:cfRule type="cellIs" dxfId="2" priority="3">
      <x:formula>"To produce"</x:formula>
    </x:cfRule>
  </x:conditionalFormatting>
  <x:dataValidations count="4">
    <x:dataValidation type="list" sqref="G2:G500">
      <x:formula1>"P0,P1,P2"</x:formula1>
    </x:dataValidation>
    <x:dataValidation type="list" sqref="H2:H500">
      <x:formula1>"AI render,3D render,Real photo,Stock placeholder,Vector icon,UI screenshot"</x:formula1>
    </x:dataValidation>
    <x:dataValidation type="list" sqref="Q2:Q500">
      <x:formula1>"To produce,In progress,Need review,Approved,Replace later,On hold"</x:formula1>
    </x:dataValidation>
    <x:dataValidation type="list" sqref="B2:B500">
      <x:formula1>"Global,Homepage,Clear PPF,Matte &amp; Color,About NEXS,Technology,Compare,Dealer,Contact"</x:formula1>
    </x:dataValidation>
  </x:dataValidations>
  <x:pageMargins left="0.7" right="0.7" top="0.75" bottom="0.75" header="0.3" footer="0.3"/>
  <x:tableParts count="1">
    <x:tablePart xmlns:r="http://schemas.openxmlformats.org/officeDocument/2006/relationships" r:id="Ra0a853108c2c4fe0"/>
  </x:tableParts>
</x:worksheet>
</file>

<file path=xl/worksheets/sheet3.xml><?xml version="1.0" encoding="utf-8"?>
<x:worksheet xmlns:x="http://schemas.openxmlformats.org/spreadsheetml/2006/main">
  <x:sheetFormatPr defaultRowHeight="15"/>
  <x:cols>
    <x:col min="1" max="1" width="18" hidden="0" customWidth="1"/>
    <x:col min="2" max="2" width="28" hidden="0" customWidth="1"/>
    <x:col min="3" max="3" width="32" hidden="0" customWidth="1"/>
    <x:col min="4" max="4" width="60" hidden="0" customWidth="1"/>
  </x:cols>
  <x:sheetData>
    <x:row r="1" ht="28" customHeight="1">
      <x:c r="A1" s="20" t="str">
        <x:v>Page</x:v>
      </x:c>
      <x:c r="B1" s="20" t="str">
        <x:v>Section</x:v>
      </x:c>
      <x:c r="C1" s="20" t="str">
        <x:v>Required Asset IDs</x:v>
      </x:c>
      <x:c r="D1" s="20" t="str">
        <x:v>Notes</x:v>
      </x:c>
    </x:row>
    <x:row r="2">
      <x:c r="A2" s="13" t="str">
        <x:v>Homepage</x:v>
      </x:c>
      <x:c r="B2" s="13" t="str">
        <x:v>Hero</x:v>
      </x:c>
      <x:c r="C2" s="13" t="str">
        <x:v>HOME-001, HOME-002, HOME-003, HOME-004, HOME-005</x:v>
      </x:c>
      <x:c r="D2" s="13" t="str">
        <x:v>Hero car and thumbnails; use white premium theme with red accents.</x:v>
      </x:c>
    </x:row>
    <x:row r="3">
      <x:c r="A3" s="13" t="str">
        <x:v>Homepage</x:v>
      </x:c>
      <x:c r="B3" s="13" t="str">
        <x:v>Choose Your Film System</x:v>
      </x:c>
      <x:c r="C3" s="13" t="str">
        <x:v>HOME-006, HOME-007, HOME-008</x:v>
      </x:c>
      <x:c r="D3" s="13" t="str">
        <x:v>Category card images for Clear, Matte, Color.</x:v>
      </x:c>
    </x:row>
    <x:row r="4">
      <x:c r="A4" s="13" t="str">
        <x:v>Homepage</x:v>
      </x:c>
      <x:c r="B4" s="13" t="str">
        <x:v>Lineup / Technology / Dealer</x:v>
      </x:c>
      <x:c r="C4" s="13" t="str">
        <x:v>HOME-009 to HOME-014</x:v>
      </x:c>
      <x:c r="D4" s="13" t="str">
        <x:v>Product rolls, layer stack, installer, showroom.</x:v>
      </x:c>
    </x:row>
    <x:row r="5">
      <x:c r="A5" s="13" t="str">
        <x:v>Clear PPF</x:v>
      </x:c>
      <x:c r="B5" s="13" t="str">
        <x:v>Hero / Product Cards</x:v>
      </x:c>
      <x:c r="C5" s="13" t="str">
        <x:v>CLR-001 to CLR-005</x:v>
      </x:c>
      <x:c r="D5" s="13" t="str">
        <x:v>Clear hero and four transparent film roll product cards.</x:v>
      </x:c>
    </x:row>
    <x:row r="6">
      <x:c r="A6" s="13" t="str">
        <x:v>Clear PPF</x:v>
      </x:c>
      <x:c r="B6" s="13" t="str">
        <x:v>Benefits / Gallery</x:v>
      </x:c>
      <x:c r="C6" s="13" t="str">
        <x:v>CLR-006 to CLR-016</x:v>
      </x:c>
      <x:c r="D6" s="13" t="str">
        <x:v>Comparison background, benefit visuals, install gallery, CTA background.</x:v>
      </x:c>
    </x:row>
    <x:row r="7">
      <x:c r="A7" s="13" t="str">
        <x:v>Matte &amp; Color</x:v>
      </x:c>
      <x:c r="B7" s="13" t="str">
        <x:v>Hero</x:v>
      </x:c>
      <x:c r="C7" s="13" t="str">
        <x:v>MC-001</x:v>
      </x:c>
      <x:c r="D7" s="13" t="str">
        <x:v>Split matte/color hero while keeping white layout.</x:v>
      </x:c>
    </x:row>
    <x:row r="8">
      <x:c r="A8" s="13" t="str">
        <x:v>Matte &amp; Color</x:v>
      </x:c>
      <x:c r="B8" s="13" t="str">
        <x:v>Matte PPF</x:v>
      </x:c>
      <x:c r="C8" s="13" t="str">
        <x:v>MAT-001 to MAT-005</x:v>
      </x:c>
      <x:c r="D8" s="13" t="str">
        <x:v>Three matte product cards confirmed: Prime, Pro, Ultimate.</x:v>
      </x:c>
    </x:row>
    <x:row r="9">
      <x:c r="A9" s="13" t="str">
        <x:v>Matte &amp; Color</x:v>
      </x:c>
      <x:c r="B9" s="13" t="str">
        <x:v>Color PPF</x:v>
      </x:c>
      <x:c r="C9" s="13" t="str">
        <x:v>COL-001 to COL-019</x:v>
      </x:c>
      <x:c r="D9" s="13" t="str">
        <x:v>Five color product cards, swatches, car gallery.</x:v>
      </x:c>
    </x:row>
    <x:row r="10">
      <x:c r="A10" s="13" t="str">
        <x:v>About NEXS</x:v>
      </x:c>
      <x:c r="B10" s="13" t="str">
        <x:v>Hero / Story</x:v>
      </x:c>
      <x:c r="C10" s="13" t="str">
        <x:v>ABT-001 to ABT-003</x:v>
      </x:c>
      <x:c r="D10" s="13" t="str">
        <x:v>Brand hero, studio signage, surface inspection story.</x:v>
      </x:c>
    </x:row>
    <x:row r="11">
      <x:c r="A11" s="13" t="str">
        <x:v>About NEXS</x:v>
      </x:c>
      <x:c r="B11" s="13" t="str">
        <x:v>Technology / Why Choose</x:v>
      </x:c>
      <x:c r="C11" s="13" t="str">
        <x:v>ABT-004 to ABT-014</x:v>
      </x:c>
      <x:c r="D11" s="13" t="str">
        <x:v>Technology cards, trust cards, dealer, map/contact.</x:v>
      </x:c>
    </x:row>
    <x:row r="12">
      <x:c r="A12" s="13" t="str">
        <x:v>Technology</x:v>
      </x:c>
      <x:c r="B12" s="13" t="str">
        <x:v>All sections</x:v>
      </x:c>
      <x:c r="C12" s="13" t="str">
        <x:v>TECH-001 to TECH-008</x:v>
      </x:c>
      <x:c r="D12" s="13" t="str">
        <x:v>Film architecture and performance imagery.</x:v>
      </x:c>
    </x:row>
    <x:row r="13">
      <x:c r="A13" s="13" t="str">
        <x:v>Compare</x:v>
      </x:c>
      <x:c r="B13" s="13" t="str">
        <x:v>All sections</x:v>
      </x:c>
      <x:c r="C13" s="13" t="str">
        <x:v>CMP-001 to CMP-002</x:v>
      </x:c>
      <x:c r="D13" s="13" t="str">
        <x:v>Lineup hero and product comparison thumbnails.</x:v>
      </x:c>
    </x:row>
    <x:row r="14">
      <x:c r="A14" s="13" t="str">
        <x:v>Dealer</x:v>
      </x:c>
      <x:c r="B14" s="13" t="str">
        <x:v>All sections</x:v>
      </x:c>
      <x:c r="C14" s="13" t="str">
        <x:v>DLR-001 to DLR-006</x:v>
      </x:c>
      <x:c r="D14" s="13" t="str">
        <x:v>Dealer trust, training, materials, installer proof.</x:v>
      </x:c>
    </x:row>
    <x:row r="15">
      <x:c r="A15" s="13" t="str">
        <x:v>Contact</x:v>
      </x:c>
      <x:c r="B15" s="13" t="str">
        <x:v>All sections</x:v>
      </x:c>
      <x:c r="C15" s="13" t="str">
        <x:v>CON-001 to CON-003</x:v>
      </x:c>
      <x:c r="D15" s="13" t="str">
        <x:v>Showroom, map, contact icons.</x:v>
      </x:c>
    </x:row>
  </x:sheetData>
  <x:pageMargins left="0.7" right="0.7" top="0.75" bottom="0.75" header="0.3" footer="0.3"/>
  <x:tableParts count="1">
    <x:tablePart xmlns:r="http://schemas.openxmlformats.org/officeDocument/2006/relationships" r:id="Rc62639cbc21d416d"/>
  </x:tableParts>
</x:worksheet>
</file>

<file path=xl/worksheets/sheet4.xml><?xml version="1.0" encoding="utf-8"?>
<x:worksheet xmlns:x="http://schemas.openxmlformats.org/spreadsheetml/2006/main">
  <x:sheetFormatPr defaultRowHeight="15"/>
  <x:cols>
    <x:col min="1" max="1" width="24" hidden="0" customWidth="1"/>
    <x:col min="2" max="2" width="28" hidden="0" customWidth="1"/>
    <x:col min="3" max="3" width="70" hidden="0" customWidth="1"/>
    <x:col min="4" max="4" width="52" hidden="0" customWidth="1"/>
  </x:cols>
  <x:sheetData>
    <x:row r="1" ht="28" customHeight="1">
      <x:c r="A1" s="20" t="str">
        <x:v>Template</x:v>
      </x:c>
      <x:c r="B1" s="20" t="str">
        <x:v>Use For</x:v>
      </x:c>
      <x:c r="C1" s="20" t="str">
        <x:v>Prompt</x:v>
      </x:c>
      <x:c r="D1" s="20" t="str">
        <x:v>Negative / Avoid</x:v>
      </x:c>
    </x:row>
    <x:row r="2">
      <x:c r="A2" s="13" t="str">
        <x:v>Master homepage hero</x:v>
      </x:c>
      <x:c r="B2" s="13" t="str">
        <x:v>HOME-001</x:v>
      </x:c>
      <x:c r="C2" s="13" t="str">
        <x:v>Premium automotive website hero image, high-key white studio, silver performance sports car, clean glossy floor, soft vertical light bars, elegant reflections, minimal red accent details, car positioned to the right, empty space on left for typography, Apple-style minimalism, ultra realistic, no text, no visible brand logo, no license plate.</x:v>
      </x:c>
      <x:c r="D2" s="13" t="str">
        <x:v>No dark homepage, no OEM logos, no visible plate, no fake text, no distorted wheels.</x:v>
      </x:c>
    </x:row>
    <x:row r="3">
      <x:c r="A3" s="13" t="str">
        <x:v>Clear PPF macro</x:v>
      </x:c>
      <x:c r="B3" s="13" t="str">
        <x:v>Clear PPF cards and close-ups</x:v>
      </x:c>
      <x:c r="C3" s="13" t="str">
        <x:v>Transparent paint protection film on glossy silver hood, invisible edge coverage, water beads, clean bright studio lighting, premium product photography, shallow depth of field, no text, no logos.</x:v>
      </x:c>
      <x:c r="D3" s="13" t="str">
        <x:v>No dirty water, no thick film edge, no visible brand marks.</x:v>
      </x:c>
    </x:row>
    <x:row r="4">
      <x:c r="A4" s="13" t="str">
        <x:v>Matte PPF product</x:v>
      </x:c>
      <x:c r="B4" s="13" t="str">
        <x:v>Matte Prime / Pro / Ultimate</x:v>
      </x:c>
      <x:c r="C4" s="13" t="str">
        <x:v>Matte satin gray performance car in white studio, soft diffused reflections, smooth premium low-gloss surface, close-up film roll texture, minimal background, no text, no brand logo.</x:v>
      </x:c>
      <x:c r="D4" s="13" t="str">
        <x:v>No glossy surface, no flat cheap dull finish, no clutter.</x:v>
      </x:c>
    </x:row>
    <x:row r="5">
      <x:c r="A5" s="13" t="str">
        <x:v>Color PPF product</x:v>
      </x:c>
      <x:c r="B5" s="13" t="str">
        <x:v>Color Begin / Prime / Pro / Ultimate</x:v>
      </x:c>
      <x:c r="C5" s="13" t="str">
        <x:v>Premium color paint protection film on sports car, rich deep color, red/blue/green/purple variant, glossy controlled reflections, white studio or clean modern garage, no text, no brand logo.</x:v>
      </x:c>
      <x:c r="D5" s="13" t="str">
        <x:v>No excessive cyberpunk, no oversaturation, no old Gloss/Satin/Shift as product tiers.</x:v>
      </x:c>
    </x:row>
    <x:row r="6">
      <x:c r="A6" s="13" t="str">
        <x:v>Carbon Fiber</x:v>
      </x:c>
      <x:c r="B6" s="13" t="str">
        <x:v>Ultimate Carbon Fiber</x:v>
      </x:c>
      <x:c r="C6" s="13" t="str">
        <x:v>Close-up of premium carbon fiber film on automotive panel, realistic diagonal weave, dark black graphite surface, soft highlights, high-end performance mood, no text, no logo.</x:v>
      </x:c>
      <x:c r="D6" s="13" t="str">
        <x:v>No messy weave, no fake logos, no visible price or labels.</x:v>
      </x:c>
    </x:row>
    <x:row r="7">
      <x:c r="A7" s="13" t="str">
        <x:v>Technology layer stack</x:v>
      </x:c>
      <x:c r="B7" s="13" t="str">
        <x:v>Technology page and homepage tech section</x:v>
      </x:c>
      <x:c r="C7" s="13" t="str">
        <x:v>Floating multilayer transparent automotive film structure, TPU layer, adhesive layer, release liner, clean white background, premium technical render, subtle shadows, no text labels.</x:v>
      </x:c>
      <x:c r="D7" s="13" t="str">
        <x:v>No cluttered diagram, no inaccurate labels baked in.</x:v>
      </x:c>
    </x:row>
    <x:row r="8">
      <x:c r="A8" s="13" t="str">
        <x:v>Installer/dealer photo</x:v>
      </x:c>
      <x:c r="B8" s="13" t="str">
        <x:v>Dealer / installer trust</x:v>
      </x:c>
      <x:c r="C8" s="13" t="str">
        <x:v>Professional installer applying paint protection film in clean premium white workshop, organized tools, silver car, realistic hands, no visible face required, no clutter, no brand logos except approved NEXS signage.</x:v>
      </x:c>
      <x:c r="D8" s="13" t="str">
        <x:v>No messy shop, no faces without consent, no bubbles/wrinkles.</x:v>
      </x:c>
    </x:row>
  </x:sheetData>
  <x:pageMargins left="0.7" right="0.7" top="0.75" bottom="0.75" header="0.3" footer="0.3"/>
  <x:tableParts count="1">
    <x:tablePart xmlns:r="http://schemas.openxmlformats.org/officeDocument/2006/relationships" r:id="R873081f7fef24ed7"/>
  </x:tableParts>
</x:worksheet>
</file>

<file path=xl/worksheets/sheet5.xml><?xml version="1.0" encoding="utf-8"?>
<x:worksheet xmlns:x="http://schemas.openxmlformats.org/spreadsheetml/2006/main">
  <x:sheetFormatPr defaultRowHeight="15"/>
  <x:cols>
    <x:col min="1" max="1" width="22" hidden="0" customWidth="1"/>
    <x:col min="2" max="2" width="54" hidden="0" customWidth="1"/>
    <x:col min="3" max="3" width="54" hidden="0" customWidth="1"/>
    <x:col min="4" max="4" width="54" hidden="0" customWidth="1"/>
  </x:cols>
  <x:sheetData>
    <x:row r="1" ht="28" customHeight="1">
      <x:c r="A1" s="20" t="str">
        <x:v>Area</x:v>
      </x:c>
      <x:c r="B1" s="20" t="str">
        <x:v>Direction</x:v>
      </x:c>
      <x:c r="C1" s="20" t="str">
        <x:v>Must Have</x:v>
      </x:c>
      <x:c r="D1" s="20" t="str">
        <x:v>Avoid</x:v>
      </x:c>
    </x:row>
    <x:row r="2">
      <x:c r="A2" s="13" t="str">
        <x:v>Homepage hero</x:v>
      </x:c>
      <x:c r="B2" s="13" t="str">
        <x:v>White/silver high-key studio, car on right, typography space on left.</x:v>
      </x:c>
      <x:c r="C2" s="13" t="str">
        <x:v>White/silver car, soft vertical light bars, red accent only.</x:v>
      </x:c>
      <x:c r="D2" s="13" t="str">
        <x:v>Black full-page theme, clutter, OEM logos.</x:v>
      </x:c>
    </x:row>
    <x:row r="3">
      <x:c r="A3" s="13" t="str">
        <x:v>Clear PPF</x:v>
      </x:c>
      <x:c r="B3" s="13" t="str">
        <x:v>Invisible protection, clarity, gloss, water beads, film edge coverage.</x:v>
      </x:c>
      <x:c r="C3" s="13" t="str">
        <x:v>Transparent film roll, silver/white car, clean reflections.</x:v>
      </x:c>
      <x:c r="D3" s="13" t="str">
        <x:v>Thick film, dirty surface, overly technical damage visuals.</x:v>
      </x:c>
    </x:row>
    <x:row r="4">
      <x:c r="A4" s="13" t="str">
        <x:v>Matte PPF</x:v>
      </x:c>
      <x:c r="B4" s="13" t="str">
        <x:v>Satin gray surfaces, soft diffused reflections, smooth premium finish.</x:v>
      </x:c>
      <x:c r="C4" s="13" t="str">
        <x:v>3 matte tiers: Prime, Pro, Ultimate.</x:v>
      </x:c>
      <x:c r="D4" s="13" t="str">
        <x:v>Only 2 matte products after confirmed 3 tiers.</x:v>
      </x:c>
    </x:row>
    <x:row r="5">
      <x:c r="A5" s="13" t="str">
        <x:v>Color PPF</x:v>
      </x:c>
      <x:c r="B5" s="13" t="str">
        <x:v>Premium color depth with contained red/blue/green/purple/carbon visuals.</x:v>
      </x:c>
      <x:c r="C5" s="13" t="str">
        <x:v>5 color tiers including Ultimate Carbon Fiber.</x:v>
      </x:c>
      <x:c r="D5" s="13" t="str">
        <x:v>Old Gloss/Satin/Shift as product architecture.</x:v>
      </x:c>
    </x:row>
    <x:row r="6">
      <x:c r="A6" s="13" t="str">
        <x:v>Technology</x:v>
      </x:c>
      <x:c r="B6" s="13" t="str">
        <x:v>Layer stack, TPU, self-healing, hydrophobic, adhesive, release liner.</x:v>
      </x:c>
      <x:c r="C6" s="13" t="str">
        <x:v>No text baked into image; UI labels separate.</x:v>
      </x:c>
      <x:c r="D6" s="13" t="str">
        <x:v>Busy engineering diagrams, fake labels.</x:v>
      </x:c>
    </x:row>
    <x:row r="7">
      <x:c r="A7" s="13" t="str">
        <x:v>Dealer/Installer</x:v>
      </x:c>
      <x:c r="B7" s="13" t="str">
        <x:v>Trust-building real photos in clean premium workshop.</x:v>
      </x:c>
      <x:c r="C7" s="13" t="str">
        <x:v>Installer hands, NEXS uniform optional, showroom/car.</x:v>
      </x:c>
      <x:c r="D7" s="13" t="str">
        <x:v>Messy workshop, visible price sheets, faces without consent.</x:v>
      </x:c>
    </x:row>
    <x:row r="8">
      <x:c r="A8" s="13" t="str">
        <x:v>Mobile crops</x:v>
      </x:c>
      <x:c r="B8" s="13" t="str">
        <x:v>Separate crop plan for all hero/product images.</x:v>
      </x:c>
      <x:c r="C8" s="13" t="str">
        <x:v>4:5 or 3:4 variants where needed.</x:v>
      </x:c>
      <x:c r="D8" s="13" t="str">
        <x:v>Relying on desktop crop only.</x:v>
      </x:c>
    </x:row>
    <x:row r="9">
      <x:c r="A9" s="13" t="str">
        <x:v>Image rights</x:v>
      </x:c>
      <x:c r="B9" s="13" t="str">
        <x:v>Use licensed stock or custom assets; remove OEM marks unless cleared.</x:v>
      </x:c>
      <x:c r="C9" s="13" t="str">
        <x:v>Document source and approval in tracker.</x:v>
      </x:c>
      <x:c r="D9" s="13" t="str">
        <x:v>Unlicensed logo/brand/product photography.</x:v>
      </x:c>
    </x:row>
  </x:sheetData>
  <x:pageMargins left="0.7" right="0.7" top="0.75" bottom="0.75" header="0.3" footer="0.3"/>
  <x:tableParts count="1">
    <x:tablePart xmlns:r="http://schemas.openxmlformats.org/officeDocument/2006/relationships" r:id="R533883a71d4b45ad"/>
  </x:tableParts>
</x:worksheet>
</file>

<file path=xl/worksheets/sheet6.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ht="28" customHeight="1">
      <x:c r="A1" s="20" t="str">
        <x:v>Status</x:v>
      </x:c>
      <x:c r="B1" s="20" t="str">
        <x:v>Priority</x:v>
      </x:c>
      <x:c r="C1" s="20" t="str">
        <x:v>Source Type</x:v>
      </x:c>
      <x:c r="D1" s="20" t="str">
        <x:v>Page</x:v>
      </x:c>
      <x:c r="E1" s="20" t="str">
        <x:v>Product/Theme</x:v>
      </x:c>
    </x:row>
    <x:row r="2">
      <x:c r="A2" t="str">
        <x:v>To produce</x:v>
      </x:c>
      <x:c r="B2" t="str">
        <x:v>P0</x:v>
      </x:c>
      <x:c r="C2" t="str">
        <x:v>AI render</x:v>
      </x:c>
      <x:c r="D2" t="str">
        <x:v>Global</x:v>
      </x:c>
      <x:c r="E2" t="str">
        <x:v>Global</x:v>
      </x:c>
    </x:row>
    <x:row r="3">
      <x:c r="A3" t="str">
        <x:v>In progress</x:v>
      </x:c>
      <x:c r="B3" t="str">
        <x:v>P1</x:v>
      </x:c>
      <x:c r="C3" t="str">
        <x:v>3D render</x:v>
      </x:c>
      <x:c r="D3" t="str">
        <x:v>Homepage</x:v>
      </x:c>
      <x:c r="E3" t="str">
        <x:v>Clear PPF</x:v>
      </x:c>
    </x:row>
    <x:row r="4">
      <x:c r="A4" t="str">
        <x:v>Need review</x:v>
      </x:c>
      <x:c r="B4" t="str">
        <x:v>P2</x:v>
      </x:c>
      <x:c r="C4" t="str">
        <x:v>Real photo</x:v>
      </x:c>
      <x:c r="D4" t="str">
        <x:v>Clear PPF</x:v>
      </x:c>
      <x:c r="E4" t="str">
        <x:v>Matte PPF</x:v>
      </x:c>
    </x:row>
    <x:row r="5">
      <x:c r="A5" t="str">
        <x:v>Approved</x:v>
      </x:c>
      <x:c r="B5" t="str"/>
      <x:c r="C5" t="str">
        <x:v>Stock placeholder</x:v>
      </x:c>
      <x:c r="D5" t="str">
        <x:v>Matte &amp; Color</x:v>
      </x:c>
      <x:c r="E5" t="str">
        <x:v>Color PPF</x:v>
      </x:c>
    </x:row>
    <x:row r="6">
      <x:c r="A6" t="str">
        <x:v>Replace later</x:v>
      </x:c>
      <x:c r="B6" t="str"/>
      <x:c r="C6" t="str">
        <x:v>Vector icon</x:v>
      </x:c>
      <x:c r="D6" t="str">
        <x:v>About NEXS</x:v>
      </x:c>
      <x:c r="E6" t="str">
        <x:v>Ultimate Carbon Fiber</x:v>
      </x:c>
    </x:row>
    <x:row r="7">
      <x:c r="A7" t="str">
        <x:v>On hold</x:v>
      </x:c>
      <x:c r="B7" t="str"/>
      <x:c r="C7" t="str">
        <x:v>UI screenshot</x:v>
      </x:c>
      <x:c r="D7" t="str">
        <x:v>Technology</x:v>
      </x:c>
      <x:c r="E7" t="str">
        <x:v>Technology</x:v>
      </x:c>
    </x:row>
    <x:row r="8">
      <x:c r="A8" t="str"/>
      <x:c r="B8" t="str"/>
      <x:c r="C8" t="str"/>
      <x:c r="D8" t="str">
        <x:v>Compare</x:v>
      </x:c>
      <x:c r="E8" t="str">
        <x:v>Dealer/Installer</x:v>
      </x:c>
    </x:row>
    <x:row r="9">
      <x:c r="A9" t="str"/>
      <x:c r="B9" t="str"/>
      <x:c r="C9" t="str"/>
      <x:c r="D9" t="str">
        <x:v>Dealer</x:v>
      </x:c>
      <x:c r="E9" t="str">
        <x:v>Contact</x:v>
      </x:c>
    </x:row>
    <x:row r="10">
      <x:c r="A10" t="str"/>
      <x:c r="B10" t="str"/>
      <x:c r="C10" t="str"/>
      <x:c r="D10" t="str">
        <x:v>Contact</x:v>
      </x:c>
      <x:c r="E10" t="str"/>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16" hidden="0" customWidth="1"/>
    <x:col min="3" max="3" width="24" hidden="0" customWidth="1"/>
    <x:col min="4" max="4" width="32" hidden="0" customWidth="1"/>
    <x:col min="5" max="5" width="36" hidden="0" customWidth="1"/>
    <x:col min="6" max="6" width="10" hidden="0" customWidth="1"/>
    <x:col min="7" max="7" width="22" hidden="0" customWidth="1"/>
    <x:col min="8" max="8" width="12" hidden="0" customWidth="1"/>
    <x:col min="9" max="9" width="18" hidden="0" customWidth="1"/>
    <x:col min="10" max="10" width="52" hidden="0" customWidth="1"/>
    <x:col min="11" max="11" width="48" hidden="0" customWidth="1"/>
  </x:cols>
  <x:sheetData>
    <x:row r="1">
      <x:c r="A1" s="46" t="str">
        <x:v>Asset ID</x:v>
      </x:c>
      <x:c r="B1" s="46" t="str">
        <x:v>Page</x:v>
      </x:c>
      <x:c r="C1" s="46" t="str">
        <x:v>Section</x:v>
      </x:c>
      <x:c r="D1" s="46" t="str">
        <x:v>Asset Name</x:v>
      </x:c>
      <x:c r="E1" s="46" t="str">
        <x:v>Recommended Filename</x:v>
      </x:c>
      <x:c r="F1" s="46" t="str">
        <x:v>Priority</x:v>
      </x:c>
      <x:c r="G1" s="46" t="str">
        <x:v>Launch Source</x:v>
      </x:c>
      <x:c r="H1" s="46" t="str">
        <x:v>Ratio</x:v>
      </x:c>
      <x:c r="I1" s="46" t="str">
        <x:v>Recommended Size</x:v>
      </x:c>
      <x:c r="J1" s="46" t="str">
        <x:v>Prompt Direction</x:v>
      </x:c>
      <x:c r="K1" s="46" t="str">
        <x:v>QA Notes</x:v>
      </x:c>
    </x:row>
    <x:row r="2">
      <x:c r="A2" s="12" t="str">
        <x:v>HOME-001</x:v>
      </x:c>
      <x:c r="B2" s="12" t="str">
        <x:v>Homepage</x:v>
      </x:c>
      <x:c r="C2" s="12" t="str">
        <x:v>Hero</x:v>
      </x:c>
      <x:c r="D2" s="12" t="str">
        <x:v>Homepage hero car</x:v>
      </x:c>
      <x:c r="E2" s="12" t="str">
        <x:v>home-hero-car-white-silver-studio.webp</x:v>
      </x:c>
      <x:c r="F2" s="12" t="str">
        <x:v>P0</x:v>
      </x:c>
      <x:c r="G2" s="12" t="str">
        <x:v>AI render (Launch v1)</x:v>
      </x:c>
      <x:c r="H2" s="12" t="str">
        <x:v>16:9</x:v>
      </x:c>
      <x:c r="I2" s="12" t="str">
        <x:v>2880 x 1500</x:v>
      </x:c>
      <x:c r="J2" s="12" t="str">
        <x:v>Premium sports car, no visible OEM logo, no license plate, NEXS plate optional only if designed later. Launch v1 direction: AI render approved by owner; generate in Apple-style white/silver premium theme with restrained red accents.</x:v>
      </x:c>
      <x:c r="K2" s="12" t="str">
        <x:v>Dark homepage, cluttered garage, obvious fake car geometry, distorted wheels. QA for AI artifacts, distorted logos, fake badges, wrong text, wrong proportions, inconsistent reflections.</x:v>
      </x:c>
    </x:row>
    <x:row r="3">
      <x:c r="A3" s="12" t="str">
        <x:v>HOME-006</x:v>
      </x:c>
      <x:c r="B3" s="12" t="str">
        <x:v>Homepage</x:v>
      </x:c>
      <x:c r="C3" s="12" t="str">
        <x:v>Choose Your Film System</x:v>
      </x:c>
      <x:c r="D3" s="12" t="str">
        <x:v>Clear PPF category card</x:v>
      </x:c>
      <x:c r="E3" s="12" t="str">
        <x:v>home-card-clear-ppf.webp</x:v>
      </x:c>
      <x:c r="F3" s="12" t="str">
        <x:v>P0</x:v>
      </x:c>
      <x:c r="G3" s="12" t="str">
        <x:v>AI render (Launch v1)</x:v>
      </x:c>
      <x:c r="H3" s="12" t="str">
        <x:v>16:9</x:v>
      </x:c>
      <x:c r="I3" s="12" t="str">
        <x:v>1200 x 700</x:v>
      </x:c>
      <x:c r="J3" s="12" t="str">
        <x:v>Should match original first mockup card mood. Launch v1 direction: AI render approved by owner; generate in Apple-style white/silver premium theme with restrained red accents.</x:v>
      </x:c>
      <x:c r="K3" s="12" t="str">
        <x:v>Over-dark page background; visible text baked into image. QA for AI artifacts, distorted logos, fake badges, wrong text, wrong proportions, inconsistent reflections.</x:v>
      </x:c>
    </x:row>
    <x:row r="4">
      <x:c r="A4" s="12" t="str">
        <x:v>HOME-007</x:v>
      </x:c>
      <x:c r="B4" s="12" t="str">
        <x:v>Homepage</x:v>
      </x:c>
      <x:c r="C4" s="12" t="str">
        <x:v>Choose Your Film System</x:v>
      </x:c>
      <x:c r="D4" s="12" t="str">
        <x:v>Matte PPF category card</x:v>
      </x:c>
      <x:c r="E4" s="12" t="str">
        <x:v>home-card-matte-ppf.webp</x:v>
      </x:c>
      <x:c r="F4" s="12" t="str">
        <x:v>P0</x:v>
      </x:c>
      <x:c r="G4" s="12" t="str">
        <x:v>AI render (Launch v1)</x:v>
      </x:c>
      <x:c r="H4" s="12" t="str">
        <x:v>16:9</x:v>
      </x:c>
      <x:c r="I4" s="12" t="str">
        <x:v>1200 x 700</x:v>
      </x:c>
      <x:c r="J4" s="12" t="str">
        <x:v>Use low-gloss surface, not glossy. Launch v1 direction: AI render approved by owner; generate in Apple-style white/silver premium theme with restrained red accents.</x:v>
      </x:c>
      <x:c r="K4" s="12" t="str">
        <x:v>Too glossy; harsh black theme. QA for AI artifacts, distorted logos, fake badges, wrong text, wrong proportions, inconsistent reflections.</x:v>
      </x:c>
    </x:row>
    <x:row r="5">
      <x:c r="A5" s="12" t="str">
        <x:v>HOME-008</x:v>
      </x:c>
      <x:c r="B5" s="12" t="str">
        <x:v>Homepage</x:v>
      </x:c>
      <x:c r="C5" s="12" t="str">
        <x:v>Choose Your Film System</x:v>
      </x:c>
      <x:c r="D5" s="12" t="str">
        <x:v>Color PPF category card</x:v>
      </x:c>
      <x:c r="E5" s="12" t="str">
        <x:v>home-card-color-ppf.webp</x:v>
      </x:c>
      <x:c r="F5" s="12" t="str">
        <x:v>P0</x:v>
      </x:c>
      <x:c r="G5" s="12" t="str">
        <x:v>AI render (Launch v1)</x:v>
      </x:c>
      <x:c r="H5" s="12" t="str">
        <x:v>16:9</x:v>
      </x:c>
      <x:c r="I5" s="12" t="str">
        <x:v>1200 x 700</x:v>
      </x:c>
      <x:c r="J5" s="12" t="str">
        <x:v>Red should be strong but contained. Launch v1 direction: AI render approved by owner; generate in Apple-style white/silver premium theme with restrained red accents.</x:v>
      </x:c>
      <x:c r="K5" s="12" t="str">
        <x:v>Overuse red outside image; neon overkill. QA for AI artifacts, distorted logos, fake badges, wrong text, wrong proportions, inconsistent reflections.</x:v>
      </x:c>
    </x:row>
    <x:row r="6">
      <x:c r="A6" s="12" t="str">
        <x:v>HOME-009</x:v>
      </x:c>
      <x:c r="B6" s="12" t="str">
        <x:v>Homepage</x:v>
      </x:c>
      <x:c r="C6" s="12" t="str">
        <x:v>Clear PPF Lineup</x:v>
      </x:c>
      <x:c r="D6" s="12" t="str">
        <x:v>Clear lineup film roll group</x:v>
      </x:c>
      <x:c r="E6" s="12" t="str">
        <x:v>home-clear-lineup-rolls.webp</x:v>
      </x:c>
      <x:c r="F6" s="12" t="str">
        <x:v>P0</x:v>
      </x:c>
      <x:c r="G6" s="12" t="str">
        <x:v>AI render (Launch v1)</x:v>
      </x:c>
      <x:c r="H6" s="12" t="str">
        <x:v>4:3</x:v>
      </x:c>
      <x:c r="I6" s="12" t="str">
        <x:v>1600 x 1000</x:v>
      </x:c>
      <x:c r="J6" s="12" t="str">
        <x:v>Can render one base roll and reuse with controlled variations. Launch v1 direction: AI render approved by owner; generate in Apple-style white/silver premium theme with restrained red accents.</x:v>
      </x:c>
      <x:c r="K6" s="12" t="str">
        <x:v>Fake labels on film; colorful rolls for clear product. QA for AI artifacts, distorted logos, fake badges, wrong text, wrong proportions, inconsistent reflections.</x:v>
      </x:c>
    </x:row>
    <x:row r="7">
      <x:c r="A7" s="12" t="str">
        <x:v>HOME-012</x:v>
      </x:c>
      <x:c r="B7" s="12" t="str">
        <x:v>Homepage</x:v>
      </x:c>
      <x:c r="C7" s="12" t="str">
        <x:v>Technology</x:v>
      </x:c>
      <x:c r="D7" s="12" t="str">
        <x:v>Advanced film layer stack</x:v>
      </x:c>
      <x:c r="E7" s="12" t="str">
        <x:v>home-technology-layer-stack.webp</x:v>
      </x:c>
      <x:c r="F7" s="12" t="str">
        <x:v>P0</x:v>
      </x:c>
      <x:c r="G7" s="12" t="str">
        <x:v>AI render (Launch v1)</x:v>
      </x:c>
      <x:c r="H7" s="12" t="str">
        <x:v>3:2</x:v>
      </x:c>
      <x:c r="I7" s="12" t="str">
        <x:v>1600 x 1000</x:v>
      </x:c>
      <x:c r="J7" s="12" t="str">
        <x:v>No text labels baked into image; UI can add labels. Launch v1 direction: AI render approved by owner; generate in Apple-style white/silver premium theme with restrained red accents.</x:v>
      </x:c>
      <x:c r="K7" s="12" t="str">
        <x:v>Busy engineering diagram; dark sci-fi look. QA for AI artifacts, distorted logos, fake badges, wrong text, wrong proportions, inconsistent reflections.</x:v>
      </x:c>
    </x:row>
    <x:row r="8">
      <x:c r="A8" s="12" t="str">
        <x:v>CLR-001</x:v>
      </x:c>
      <x:c r="B8" s="12" t="str">
        <x:v>Clear PPF</x:v>
      </x:c>
      <x:c r="C8" s="12" t="str">
        <x:v>Hero</x:v>
      </x:c>
      <x:c r="D8" s="12" t="str">
        <x:v>Clear PPF hero car</x:v>
      </x:c>
      <x:c r="E8" s="12" t="str">
        <x:v>clear-hero-silver-car.webp</x:v>
      </x:c>
      <x:c r="F8" s="12" t="str">
        <x:v>P0</x:v>
      </x:c>
      <x:c r="G8" s="12" t="str">
        <x:v>AI render (Launch v1)</x:v>
      </x:c>
      <x:c r="H8" s="12" t="str">
        <x:v>16:9</x:v>
      </x:c>
      <x:c r="I8" s="12" t="str">
        <x:v>2880 x 1500</x:v>
      </x:c>
      <x:c r="J8" s="12" t="str">
        <x:v>Should feel like original Clear PPF page with Apple white mood. Launch v1 direction: AI render approved by owner; generate in Apple-style white/silver premium theme with restrained red accents.</x:v>
      </x:c>
      <x:c r="K8" s="12" t="str">
        <x:v>Dark hero, colorful car. QA for AI artifacts, distorted logos, fake badges, wrong text, wrong proportions, inconsistent reflections.</x:v>
      </x:c>
    </x:row>
    <x:row r="9">
      <x:c r="A9" s="12" t="str">
        <x:v>CLR-002</x:v>
      </x:c>
      <x:c r="B9" s="12" t="str">
        <x:v>Clear PPF</x:v>
      </x:c>
      <x:c r="C9" s="12" t="str">
        <x:v>Product cards</x:v>
      </x:c>
      <x:c r="D9" s="12" t="str">
        <x:v>Begin film roll</x:v>
      </x:c>
      <x:c r="E9" s="12" t="str">
        <x:v>clear-begin-roll.webp</x:v>
      </x:c>
      <x:c r="F9" s="12" t="str">
        <x:v>P0</x:v>
      </x:c>
      <x:c r="G9" s="12" t="str">
        <x:v>AI render (Launch v1)</x:v>
      </x:c>
      <x:c r="H9" s="12" t="str">
        <x:v>4:3</x:v>
      </x:c>
      <x:c r="I9" s="12" t="str">
        <x:v>1200 x 900</x:v>
      </x:c>
      <x:c r="J9" s="12" t="str">
        <x:v>Used in Begin product card. Launch v1 direction: AI render approved by owner; generate in Apple-style white/silver premium theme with restrained red accents.</x:v>
      </x:c>
      <x:c r="K9" s="12" t="str">
        <x:v>Text/labels baked into roll. QA for AI artifacts, distorted logos, fake badges, wrong text, wrong proportions, inconsistent reflections.</x:v>
      </x:c>
    </x:row>
    <x:row r="10">
      <x:c r="A10" s="12" t="str">
        <x:v>CLR-003</x:v>
      </x:c>
      <x:c r="B10" s="12" t="str">
        <x:v>Clear PPF</x:v>
      </x:c>
      <x:c r="C10" s="12" t="str">
        <x:v>Product cards</x:v>
      </x:c>
      <x:c r="D10" s="12" t="str">
        <x:v>Prime film roll</x:v>
      </x:c>
      <x:c r="E10" s="12" t="str">
        <x:v>clear-prime-roll.webp</x:v>
      </x:c>
      <x:c r="F10" s="12" t="str">
        <x:v>P0</x:v>
      </x:c>
      <x:c r="G10" s="12" t="str">
        <x:v>AI render (Launch v1)</x:v>
      </x:c>
      <x:c r="H10" s="12" t="str">
        <x:v>4:3</x:v>
      </x:c>
      <x:c r="I10" s="12" t="str">
        <x:v>1200 x 900</x:v>
      </x:c>
      <x:c r="J10" s="12" t="str">
        <x:v>Used in Prime product card. Launch v1 direction: AI render approved by owner; generate in Apple-style white/silver premium theme with restrained red accents.</x:v>
      </x:c>
      <x:c r="K10" s="12" t="str">
        <x:v>Different color tint too strong. QA for AI artifacts, distorted logos, fake badges, wrong text, wrong proportions, inconsistent reflections.</x:v>
      </x:c>
    </x:row>
    <x:row r="11">
      <x:c r="A11" s="12" t="str">
        <x:v>CLR-004</x:v>
      </x:c>
      <x:c r="B11" s="12" t="str">
        <x:v>Clear PPF</x:v>
      </x:c>
      <x:c r="C11" s="12" t="str">
        <x:v>Product cards</x:v>
      </x:c>
      <x:c r="D11" s="12" t="str">
        <x:v>Pro film roll</x:v>
      </x:c>
      <x:c r="E11" s="12" t="str">
        <x:v>clear-pro-roll.webp</x:v>
      </x:c>
      <x:c r="F11" s="12" t="str">
        <x:v>P0</x:v>
      </x:c>
      <x:c r="G11" s="12" t="str">
        <x:v>AI render (Launch v1)</x:v>
      </x:c>
      <x:c r="H11" s="12" t="str">
        <x:v>4:3</x:v>
      </x:c>
      <x:c r="I11" s="12" t="str">
        <x:v>1200 x 900</x:v>
      </x:c>
      <x:c r="J11" s="12" t="str">
        <x:v>Used in Pro product card. Launch v1 direction: AI render approved by owner; generate in Apple-style white/silver premium theme with restrained red accents.</x:v>
      </x:c>
      <x:c r="K11" s="12" t="str">
        <x:v>Overly colored or opaque film. QA for AI artifacts, distorted logos, fake badges, wrong text, wrong proportions, inconsistent reflections.</x:v>
      </x:c>
    </x:row>
    <x:row r="12">
      <x:c r="A12" s="12" t="str">
        <x:v>CLR-005</x:v>
      </x:c>
      <x:c r="B12" s="12" t="str">
        <x:v>Clear PPF</x:v>
      </x:c>
      <x:c r="C12" s="12" t="str">
        <x:v>Product cards</x:v>
      </x:c>
      <x:c r="D12" s="12" t="str">
        <x:v>Ultimate film roll</x:v>
      </x:c>
      <x:c r="E12" s="12" t="str">
        <x:v>clear-ultimate-roll.webp</x:v>
      </x:c>
      <x:c r="F12" s="12" t="str">
        <x:v>P0</x:v>
      </x:c>
      <x:c r="G12" s="12" t="str">
        <x:v>AI render (Launch v1)</x:v>
      </x:c>
      <x:c r="H12" s="12" t="str">
        <x:v>4:3</x:v>
      </x:c>
      <x:c r="I12" s="12" t="str">
        <x:v>1200 x 900</x:v>
      </x:c>
      <x:c r="J12" s="12" t="str">
        <x:v>Used in Ultimate product card. Launch v1 direction: AI render approved by owner; generate in Apple-style white/silver premium theme with restrained red accents.</x:v>
      </x:c>
      <x:c r="K12" s="12" t="str">
        <x:v>Pink tint too strong unless approved. QA for AI artifacts, distorted logos, fake badges, wrong text, wrong proportions, inconsistent reflections.</x:v>
      </x:c>
    </x:row>
    <x:row r="13">
      <x:c r="A13" s="12" t="str">
        <x:v>MC-001</x:v>
      </x:c>
      <x:c r="B13" s="12" t="str">
        <x:v>Matte &amp; Color</x:v>
      </x:c>
      <x:c r="C13" s="12" t="str">
        <x:v>Hero</x:v>
      </x:c>
      <x:c r="D13" s="12" t="str">
        <x:v>Matte and Color hero split</x:v>
      </x:c>
      <x:c r="E13" s="12" t="str">
        <x:v>matte-color-hero-split.webp</x:v>
      </x:c>
      <x:c r="F13" s="12" t="str">
        <x:v>P0</x:v>
      </x:c>
      <x:c r="G13" s="12" t="str">
        <x:v>AI render (Launch v1)</x:v>
      </x:c>
      <x:c r="H13" s="12" t="str">
        <x:v>16:9</x:v>
      </x:c>
      <x:c r="I13" s="12" t="str">
        <x:v>2880 x 1500</x:v>
      </x:c>
      <x:c r="J13" s="12" t="str">
        <x:v>Color can be expressive but not cyberpunk except small inspiration crop. Launch v1 direction: AI render approved by owner; generate in Apple-style white/silver premium theme with restrained red accents.</x:v>
      </x:c>
      <x:c r="K13" s="12" t="str">
        <x:v>Full dark/neon page; visual clutter. QA for AI artifacts, distorted logos, fake badges, wrong text, wrong proportions, inconsistent reflections.</x:v>
      </x:c>
    </x:row>
    <x:row r="14">
      <x:c r="A14" s="12" t="str">
        <x:v>MAT-001</x:v>
      </x:c>
      <x:c r="B14" s="12" t="str">
        <x:v>Matte &amp; Color</x:v>
      </x:c>
      <x:c r="C14" s="12" t="str">
        <x:v>Matte PPF products</x:v>
      </x:c>
      <x:c r="D14" s="12" t="str">
        <x:v>Matte Prime car image</x:v>
      </x:c>
      <x:c r="E14" s="12" t="str">
        <x:v>matte-prime-car.webp</x:v>
      </x:c>
      <x:c r="F14" s="12" t="str">
        <x:v>P0</x:v>
      </x:c>
      <x:c r="G14" s="12" t="str">
        <x:v>AI render (Launch v1)</x:v>
      </x:c>
      <x:c r="H14" s="12" t="str">
        <x:v>16:9</x:v>
      </x:c>
      <x:c r="I14" s="12" t="str">
        <x:v>1200 x 800</x:v>
      </x:c>
      <x:c r="J14" s="12" t="str">
        <x:v>Mockup aligned to Clear Prime tier. Launch v1 direction: AI render approved by owner; generate in Apple-style white/silver premium theme with restrained red accents.</x:v>
      </x:c>
      <x:c r="K14" s="12" t="str">
        <x:v>Too glossy, blacked out. QA for AI artifacts, distorted logos, fake badges, wrong text, wrong proportions, inconsistent reflections.</x:v>
      </x:c>
    </x:row>
    <x:row r="15">
      <x:c r="A15" s="12" t="str">
        <x:v>MAT-002</x:v>
      </x:c>
      <x:c r="B15" s="12" t="str">
        <x:v>Matte &amp; Color</x:v>
      </x:c>
      <x:c r="C15" s="12" t="str">
        <x:v>Matte PPF products</x:v>
      </x:c>
      <x:c r="D15" s="12" t="str">
        <x:v>Matte Pro car image</x:v>
      </x:c>
      <x:c r="E15" s="12" t="str">
        <x:v>matte-pro-car.webp</x:v>
      </x:c>
      <x:c r="F15" s="12" t="str">
        <x:v>P0</x:v>
      </x:c>
      <x:c r="G15" s="12" t="str">
        <x:v>AI render (Launch v1)</x:v>
      </x:c>
      <x:c r="H15" s="12" t="str">
        <x:v>16:9</x:v>
      </x:c>
      <x:c r="I15" s="12" t="str">
        <x:v>1200 x 800</x:v>
      </x:c>
      <x:c r="J15" s="12" t="str">
        <x:v>Mockup aligned to Clear Pro tier. Launch v1 direction: AI render approved by owner; generate in Apple-style white/silver premium theme with restrained red accents.</x:v>
      </x:c>
      <x:c r="K15" s="12" t="str">
        <x:v>No Pro image missing after confirmed 3 tiers. QA for AI artifacts, distorted logos, fake badges, wrong text, wrong proportions, inconsistent reflections.</x:v>
      </x:c>
    </x:row>
    <x:row r="16">
      <x:c r="A16" s="12" t="str">
        <x:v>MAT-003</x:v>
      </x:c>
      <x:c r="B16" s="12" t="str">
        <x:v>Matte &amp; Color</x:v>
      </x:c>
      <x:c r="C16" s="12" t="str">
        <x:v>Matte PPF products</x:v>
      </x:c>
      <x:c r="D16" s="12" t="str">
        <x:v>Matte Ultimate car image</x:v>
      </x:c>
      <x:c r="E16" s="12" t="str">
        <x:v>matte-ultimate-car.webp</x:v>
      </x:c>
      <x:c r="F16" s="12" t="str">
        <x:v>P0</x:v>
      </x:c>
      <x:c r="G16" s="12" t="str">
        <x:v>AI render (Launch v1)</x:v>
      </x:c>
      <x:c r="H16" s="12" t="str">
        <x:v>16:9</x:v>
      </x:c>
      <x:c r="I16" s="12" t="str">
        <x:v>1200 x 800</x:v>
      </x:c>
      <x:c r="J16" s="12" t="str">
        <x:v>Mockup aligned to Clear Ultimate tier. Launch v1 direction: AI render approved by owner; generate in Apple-style white/silver premium theme with restrained red accents.</x:v>
      </x:c>
      <x:c r="K16" s="12" t="str">
        <x:v>Flat dull look that feels cheap. QA for AI artifacts, distorted logos, fake badges, wrong text, wrong proportions, inconsistent reflections.</x:v>
      </x:c>
    </x:row>
    <x:row r="17">
      <x:c r="A17" s="12" t="str">
        <x:v>COL-001</x:v>
      </x:c>
      <x:c r="B17" s="12" t="str">
        <x:v>Matte &amp; Color</x:v>
      </x:c>
      <x:c r="C17" s="12" t="str">
        <x:v>Color PPF products</x:v>
      </x:c>
      <x:c r="D17" s="12" t="str">
        <x:v>Color Begin card</x:v>
      </x:c>
      <x:c r="E17" s="12" t="str">
        <x:v>color-begin-card-red.webp</x:v>
      </x:c>
      <x:c r="F17" s="12" t="str">
        <x:v>P0</x:v>
      </x:c>
      <x:c r="G17" s="12" t="str">
        <x:v>AI render (Launch v1)</x:v>
      </x:c>
      <x:c r="H17" s="12" t="str">
        <x:v>16:9</x:v>
      </x:c>
      <x:c r="I17" s="12" t="str">
        <x:v>1200 x 800</x:v>
      </x:c>
      <x:c r="J17" s="12" t="str">
        <x:v>Position as Color Begin. Launch v1 direction: AI render approved by owner; generate in Apple-style white/silver premium theme with restrained red accents.</x:v>
      </x:c>
      <x:c r="K17" s="12" t="str">
        <x:v>Use old Gloss/Satin/Shift as main tier. QA for AI artifacts, distorted logos, fake badges, wrong text, wrong proportions, inconsistent reflections.</x:v>
      </x:c>
    </x:row>
    <x:row r="18">
      <x:c r="A18" s="12" t="str">
        <x:v>COL-002</x:v>
      </x:c>
      <x:c r="B18" s="12" t="str">
        <x:v>Matte &amp; Color</x:v>
      </x:c>
      <x:c r="C18" s="12" t="str">
        <x:v>Color PPF products</x:v>
      </x:c>
      <x:c r="D18" s="12" t="str">
        <x:v>Color Prime card</x:v>
      </x:c>
      <x:c r="E18" s="12" t="str">
        <x:v>color-prime-card-blue.webp</x:v>
      </x:c>
      <x:c r="F18" s="12" t="str">
        <x:v>P0</x:v>
      </x:c>
      <x:c r="G18" s="12" t="str">
        <x:v>AI render (Launch v1)</x:v>
      </x:c>
      <x:c r="H18" s="12" t="str">
        <x:v>16:9</x:v>
      </x:c>
      <x:c r="I18" s="12" t="str">
        <x:v>1200 x 800</x:v>
      </x:c>
      <x:c r="J18" s="12" t="str">
        <x:v>Position as Color Prime. Launch v1 direction: AI render approved by owner; generate in Apple-style white/silver premium theme with restrained red accents.</x:v>
      </x:c>
      <x:c r="K18" s="12" t="str">
        <x:v>Cheap saturated blue wrap. QA for AI artifacts, distorted logos, fake badges, wrong text, wrong proportions, inconsistent reflections.</x:v>
      </x:c>
    </x:row>
    <x:row r="19">
      <x:c r="A19" s="12" t="str">
        <x:v>COL-003</x:v>
      </x:c>
      <x:c r="B19" s="12" t="str">
        <x:v>Matte &amp; Color</x:v>
      </x:c>
      <x:c r="C19" s="12" t="str">
        <x:v>Color PPF products</x:v>
      </x:c>
      <x:c r="D19" s="12" t="str">
        <x:v>Color Pro card</x:v>
      </x:c>
      <x:c r="E19" s="12" t="str">
        <x:v>color-pro-card-purple.webp</x:v>
      </x:c>
      <x:c r="F19" s="12" t="str">
        <x:v>P0</x:v>
      </x:c>
      <x:c r="G19" s="12" t="str">
        <x:v>AI render (Launch v1)</x:v>
      </x:c>
      <x:c r="H19" s="12" t="str">
        <x:v>16:9</x:v>
      </x:c>
      <x:c r="I19" s="12" t="str">
        <x:v>1200 x 800</x:v>
      </x:c>
      <x:c r="J19" s="12" t="str">
        <x:v>Position as Color Pro. Launch v1 direction: AI render approved by owner; generate in Apple-style white/silver premium theme with restrained red accents.</x:v>
      </x:c>
      <x:c r="K19" s="12" t="str">
        <x:v>Excessive cyberpunk background. QA for AI artifacts, distorted logos, fake badges, wrong text, wrong proportions, inconsistent reflections.</x:v>
      </x:c>
    </x:row>
    <x:row r="20">
      <x:c r="A20" s="12" t="str">
        <x:v>COL-004</x:v>
      </x:c>
      <x:c r="B20" s="12" t="str">
        <x:v>Matte &amp; Color</x:v>
      </x:c>
      <x:c r="C20" s="12" t="str">
        <x:v>Color PPF products</x:v>
      </x:c>
      <x:c r="D20" s="12" t="str">
        <x:v>Color Ultimate card</x:v>
      </x:c>
      <x:c r="E20" s="12" t="str">
        <x:v>color-ultimate-card-green.webp</x:v>
      </x:c>
      <x:c r="F20" s="12" t="str">
        <x:v>P0</x:v>
      </x:c>
      <x:c r="G20" s="12" t="str">
        <x:v>AI render (Launch v1)</x:v>
      </x:c>
      <x:c r="H20" s="12" t="str">
        <x:v>16:9</x:v>
      </x:c>
      <x:c r="I20" s="12" t="str">
        <x:v>1200 x 800</x:v>
      </x:c>
      <x:c r="J20" s="12" t="str">
        <x:v>Position as Color Ultimate. Launch v1 direction: AI render approved by owner; generate in Apple-style white/silver premium theme with restrained red accents.</x:v>
      </x:c>
      <x:c r="K20" s="12" t="str">
        <x:v>Looks like military matte unless intended. QA for AI artifacts, distorted logos, fake badges, wrong text, wrong proportions, inconsistent reflections.</x:v>
      </x:c>
    </x:row>
    <x:row r="21">
      <x:c r="A21" s="12" t="str">
        <x:v>COL-005</x:v>
      </x:c>
      <x:c r="B21" s="12" t="str">
        <x:v>Matte &amp; Color</x:v>
      </x:c>
      <x:c r="C21" s="12" t="str">
        <x:v>Color PPF products</x:v>
      </x:c>
      <x:c r="D21" s="12" t="str">
        <x:v>Ultimate Carbon Fiber card</x:v>
      </x:c>
      <x:c r="E21" s="12" t="str">
        <x:v>color-ultimate-carbon-fiber-card.webp</x:v>
      </x:c>
      <x:c r="F21" s="12" t="str">
        <x:v>P0</x:v>
      </x:c>
      <x:c r="G21" s="12" t="str">
        <x:v>AI render (Launch v1)</x:v>
      </x:c>
      <x:c r="H21" s="12" t="str">
        <x:v>16:9</x:v>
      </x:c>
      <x:c r="I21" s="12" t="str">
        <x:v>1200 x 800</x:v>
      </x:c>
      <x:c r="J21" s="12" t="str">
        <x:v>Position as Ultimate Carbon Fiber; no price shown. Launch v1 direction: AI render approved by owner; generate in Apple-style white/silver premium theme with restrained red accents.</x:v>
      </x:c>
      <x:c r="K21" s="12" t="str">
        <x:v>Mentioning price or cost; messy weave. QA for AI artifacts, distorted logos, fake badges, wrong text, wrong proportions, inconsistent reflections.</x:v>
      </x:c>
    </x:row>
    <x:row r="22">
      <x:c r="A22" s="12" t="str">
        <x:v>ABT-001</x:v>
      </x:c>
      <x:c r="B22" s="12" t="str">
        <x:v>About NEXS</x:v>
      </x:c>
      <x:c r="C22" s="12" t="str">
        <x:v>Hero</x:v>
      </x:c>
      <x:c r="D22" s="12" t="str">
        <x:v>About hero car close-up</x:v>
      </x:c>
      <x:c r="E22" s="12" t="str">
        <x:v>about-hero-car-detail.webp</x:v>
      </x:c>
      <x:c r="F22" s="12" t="str">
        <x:v>P0</x:v>
      </x:c>
      <x:c r="G22" s="12" t="str">
        <x:v>AI render (Launch v1)</x:v>
      </x:c>
      <x:c r="H22" s="12" t="str">
        <x:v>16:9</x:v>
      </x:c>
      <x:c r="I22" s="12" t="str">
        <x:v>2880 x 1400</x:v>
      </x:c>
      <x:c r="J22" s="12" t="str">
        <x:v>Matches About mockup hero image. Launch v1 direction: AI render approved by owner; generate in Apple-style white/silver premium theme with restrained red accents.</x:v>
      </x:c>
      <x:c r="K22" s="12" t="str">
        <x:v>Over-dark full page. QA for AI artifacts, distorted logos, fake badges, wrong text, wrong proportions, inconsistent reflections.</x:v>
      </x:c>
    </x:row>
    <x:row r="23">
      <x:c r="A23" s="12" t="str">
        <x:v>ABT-002</x:v>
      </x:c>
      <x:c r="B23" s="12" t="str">
        <x:v>About NEXS</x:v>
      </x:c>
      <x:c r="C23" s="12" t="str">
        <x:v>Story</x:v>
      </x:c>
      <x:c r="D23" s="12" t="str">
        <x:v>NEXS studio signage</x:v>
      </x:c>
      <x:c r="E23" s="12" t="str">
        <x:v>about-nexs-studio-signage.webp</x:v>
      </x:c>
      <x:c r="F23" s="12" t="str">
        <x:v>P0</x:v>
      </x:c>
      <x:c r="G23" s="12" t="str">
        <x:v>AI render (Launch v1)</x:v>
      </x:c>
      <x:c r="H23" s="12" t="str">
        <x:v>16:9</x:v>
      </x:c>
      <x:c r="I23" s="12" t="str">
        <x:v>1400 x 800</x:v>
      </x:c>
      <x:c r="J23" s="12" t="str">
        <x:v>Use for brand story card. Launch v1 direction: AI render approved by owner; generate in Apple-style white/silver premium theme with restrained red accents.</x:v>
      </x:c>
      <x:c r="K23" s="12" t="str">
        <x:v>Fake readable text beyond approved line. QA for AI artifacts, distorted logos, fake badges, wrong text, wrong proportions, inconsistent reflections.</x:v>
      </x:c>
    </x:row>
    <x:row r="24">
      <x:c r="A24" s="12" t="str">
        <x:v>TECH-001</x:v>
      </x:c>
      <x:c r="B24" s="12" t="str">
        <x:v>Technology</x:v>
      </x:c>
      <x:c r="C24" s="12" t="str">
        <x:v>Hero</x:v>
      </x:c>
      <x:c r="D24" s="12" t="str">
        <x:v>Technology hero layer stack</x:v>
      </x:c>
      <x:c r="E24" s="12" t="str">
        <x:v>technology-hero-layer-stack.webp</x:v>
      </x:c>
      <x:c r="F24" s="12" t="str">
        <x:v>P0</x:v>
      </x:c>
      <x:c r="G24" s="12" t="str">
        <x:v>AI render (Launch v1)</x:v>
      </x:c>
      <x:c r="H24" s="12" t="str">
        <x:v>16:9</x:v>
      </x:c>
      <x:c r="I24" s="12" t="str">
        <x:v>2880 x 1400</x:v>
      </x:c>
      <x:c r="J24" s="12" t="str">
        <x:v>Can reuse HOME-012 with alternate crop. Launch v1 direction: AI render approved by owner; generate in Apple-style white/silver premium theme with restrained red accents.</x:v>
      </x:c>
      <x:c r="K24" s="12" t="str">
        <x:v>Dark sci-fi render. QA for AI artifacts, distorted logos, fake badges, wrong text, wrong proportions, inconsistent reflections.</x:v>
      </x:c>
    </x:row>
    <x:row r="25">
      <x:c r="A25" s="12" t="str">
        <x:v>TECH-002</x:v>
      </x:c>
      <x:c r="B25" s="12" t="str">
        <x:v>Technology</x:v>
      </x:c>
      <x:c r="C25" s="12" t="str">
        <x:v>Film Architecture</x:v>
      </x:c>
      <x:c r="D25" s="12" t="str">
        <x:v>Film cross-section detail</x:v>
      </x:c>
      <x:c r="E25" s="12" t="str">
        <x:v>technology-film-cross-section.webp</x:v>
      </x:c>
      <x:c r="F25" s="12" t="str">
        <x:v>P0</x:v>
      </x:c>
      <x:c r="G25" s="12" t="str">
        <x:v>AI render (Launch v1)</x:v>
      </x:c>
      <x:c r="H25" s="12" t="str">
        <x:v>3:2</x:v>
      </x:c>
      <x:c r="I25" s="12" t="str">
        <x:v>1600 x 1000</x:v>
      </x:c>
      <x:c r="J25" s="12" t="str">
        <x:v>UI should add labels separately. Launch v1 direction: AI render approved by owner; generate in Apple-style white/silver premium theme with restrained red accents.</x:v>
      </x:c>
      <x:c r="K25" s="12" t="str">
        <x:v>Inaccurate fake microscopic diagram. QA for AI artifacts, distorted logos, fake badges, wrong text, wrong proportions, inconsistent reflections.</x:v>
      </x:c>
    </x:row>
    <x:row r="26">
      <x:c r="A26" s="12" t="str">
        <x:v>DLR-001</x:v>
      </x:c>
      <x:c r="B26" s="12" t="str">
        <x:v>Dealer</x:v>
      </x:c>
      <x:c r="C26" s="12" t="str">
        <x:v>Hero</x:v>
      </x:c>
      <x:c r="D26" s="12" t="str">
        <x:v>Dealer hero showroom</x:v>
      </x:c>
      <x:c r="E26" s="12" t="str">
        <x:v>dealer-hero-showroom.webp</x:v>
      </x:c>
      <x:c r="F26" s="12" t="str">
        <x:v>P0</x:v>
      </x:c>
      <x:c r="G26" s="12" t="str">
        <x:v>AI render (Launch v1)</x:v>
      </x:c>
      <x:c r="H26" s="12" t="str">
        <x:v>16:9</x:v>
      </x:c>
      <x:c r="I26" s="12" t="str">
        <x:v>2880 x 1400</x:v>
      </x:c>
      <x:c r="J26" s="12" t="str">
        <x:v>Real showroom or AI placeholder until photo shoot. Launch v1 direction: AI render approved by owner; generate in Apple-style white/silver premium theme with restrained red accents.</x:v>
      </x:c>
      <x:c r="K26" s="12" t="str">
        <x:v>Messy or dark garage. QA for AI artifacts, distorted logos, fake badges, wrong text, wrong proportions, inconsistent reflections.</x:v>
      </x:c>
    </x:row>
    <x:row r="27">
      <x:c r="A27" s="12" t="str">
        <x:v>DLR-006</x:v>
      </x:c>
      <x:c r="B27" s="12" t="str">
        <x:v>Dealer</x:v>
      </x:c>
      <x:c r="C27" s="12" t="str">
        <x:v>Installer trust</x:v>
      </x:c>
      <x:c r="D27" s="12" t="str">
        <x:v>Installer close-up with NEXS uniform</x:v>
      </x:c>
      <x:c r="E27" s="12" t="str">
        <x:v>dealer-installer-nexs-uniform.webp</x:v>
      </x:c>
      <x:c r="F27" s="12" t="str">
        <x:v>P0</x:v>
      </x:c>
      <x:c r="G27" s="12" t="str">
        <x:v>AI render (Launch v1)</x:v>
      </x:c>
      <x:c r="H27" s="12" t="str">
        <x:v>16:9</x:v>
      </x:c>
      <x:c r="I27" s="12" t="str">
        <x:v>1400 x 900</x:v>
      </x:c>
      <x:c r="J27" s="12" t="str">
        <x:v>Real photo strongly recommended. Launch v1 direction: AI render approved by owner; generate in Apple-style white/silver premium theme with restrained red accents.</x:v>
      </x:c>
      <x:c r="K27" s="12" t="str">
        <x:v>Face without consent, wrinkles/bubbles in install. QA for AI artifacts, distorted logos, fake badges, wrong text, wrong proportions, inconsistent reflections.</x:v>
      </x:c>
    </x:row>
  </x:sheetData>
  <x:pageMargins left="0.7" right="0.7" top="0.75" bottom="0.75" header="0.3" footer="0.3"/>
  <x:tableParts count="1">
    <x:tablePart xmlns:r="http://schemas.openxmlformats.org/officeDocument/2006/relationships" r:id="R8ca8e47d3e5a4870"/>
  </x:tableParts>
</x:worksheet>
</file>